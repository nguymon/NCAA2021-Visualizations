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ersonal\March Madness Predictions\AdvancedStats\"/>
    </mc:Choice>
  </mc:AlternateContent>
  <xr:revisionPtr revIDLastSave="0" documentId="13_ncr:1_{DA66A04D-650A-4BC2-BE16-1AF5C6994ABE}" xr6:coauthVersionLast="46" xr6:coauthVersionMax="46" xr10:uidLastSave="{00000000-0000-0000-0000-000000000000}"/>
  <bookViews>
    <workbookView xWindow="28680" yWindow="-5340" windowWidth="38640" windowHeight="21240" xr2:uid="{00000000-000D-0000-FFFF-FFFF00000000}"/>
  </bookViews>
  <sheets>
    <sheet name="Work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S2" i="1"/>
  <c r="P2" i="1"/>
  <c r="M2" i="1"/>
  <c r="J2" i="1"/>
</calcChain>
</file>

<file path=xl/sharedStrings.xml><?xml version="1.0" encoding="utf-8"?>
<sst xmlns="http://schemas.openxmlformats.org/spreadsheetml/2006/main" count="100" uniqueCount="94">
  <si>
    <t>School</t>
  </si>
  <si>
    <t>G</t>
  </si>
  <si>
    <t>W</t>
  </si>
  <si>
    <t>L</t>
  </si>
  <si>
    <t>W-L%</t>
  </si>
  <si>
    <t>SRS</t>
  </si>
  <si>
    <t>SOS</t>
  </si>
  <si>
    <t>Tm.</t>
  </si>
  <si>
    <t>Opp.</t>
  </si>
  <si>
    <t>Pace</t>
  </si>
  <si>
    <t>ORtg</t>
  </si>
  <si>
    <t>FTr</t>
  </si>
  <si>
    <t>3PAr</t>
  </si>
  <si>
    <t>TS%</t>
  </si>
  <si>
    <t>TRB%</t>
  </si>
  <si>
    <t>AST%</t>
  </si>
  <si>
    <t>STL%</t>
  </si>
  <si>
    <t>BLK%</t>
  </si>
  <si>
    <t>eFG%</t>
  </si>
  <si>
    <t>TOV%</t>
  </si>
  <si>
    <t>ORB%</t>
  </si>
  <si>
    <t>FT/FGA</t>
  </si>
  <si>
    <t>Abilene Christian NCAA</t>
  </si>
  <si>
    <t>Arizona State NCAA</t>
  </si>
  <si>
    <t>Auburn NCAA</t>
  </si>
  <si>
    <t>Baylor NCAA</t>
  </si>
  <si>
    <t>Belmont NCAA</t>
  </si>
  <si>
    <t>Bradley NCAA</t>
  </si>
  <si>
    <t>Buffalo NCAA</t>
  </si>
  <si>
    <t>UC-Irvine NCAA</t>
  </si>
  <si>
    <t>Central Florida NCAA</t>
  </si>
  <si>
    <t>Cincinnati NCAA</t>
  </si>
  <si>
    <t>Colgate NCAA</t>
  </si>
  <si>
    <t>Duke NCAA</t>
  </si>
  <si>
    <t>Fairleigh Dickinson NCAA</t>
  </si>
  <si>
    <t>Florida State NCAA</t>
  </si>
  <si>
    <t>Florida NCAA</t>
  </si>
  <si>
    <t>Gardner-Webb NCAA</t>
  </si>
  <si>
    <t>Georgia State NCAA</t>
  </si>
  <si>
    <t>Gonzaga NCAA</t>
  </si>
  <si>
    <t>Houston NCAA</t>
  </si>
  <si>
    <t>Iona NCAA</t>
  </si>
  <si>
    <t>Iowa State NCAA</t>
  </si>
  <si>
    <t>Iowa NCAA</t>
  </si>
  <si>
    <t>Kansas State NCAA</t>
  </si>
  <si>
    <t>Kansas NCAA</t>
  </si>
  <si>
    <t>Kentucky NCAA</t>
  </si>
  <si>
    <t>Liberty NCAA</t>
  </si>
  <si>
    <t>Louisiana State NCAA</t>
  </si>
  <si>
    <t>Louisville NCAA</t>
  </si>
  <si>
    <t>Marquette NCAA</t>
  </si>
  <si>
    <t>Maryland NCAA</t>
  </si>
  <si>
    <t>Michigan State NCAA</t>
  </si>
  <si>
    <t>Michigan NCAA</t>
  </si>
  <si>
    <t>Minnesota NCAA</t>
  </si>
  <si>
    <t>Mississippi State NCAA</t>
  </si>
  <si>
    <t>Mississippi NCAA</t>
  </si>
  <si>
    <t>Montana NCAA</t>
  </si>
  <si>
    <t>Murray State NCAA</t>
  </si>
  <si>
    <t>Nevada NCAA</t>
  </si>
  <si>
    <t>New Mexico State NCAA</t>
  </si>
  <si>
    <t>North Carolina Central NCAA</t>
  </si>
  <si>
    <t>North Carolina NCAA</t>
  </si>
  <si>
    <t>North Dakota State NCAA</t>
  </si>
  <si>
    <t>Northeastern NCAA</t>
  </si>
  <si>
    <t>Northern Kentucky NCAA</t>
  </si>
  <si>
    <t>Ohio State NCAA</t>
  </si>
  <si>
    <t>Oklahoma NCAA</t>
  </si>
  <si>
    <t>Old Dominion NCAA</t>
  </si>
  <si>
    <t>Oregon NCAA</t>
  </si>
  <si>
    <t>Prairie View NCAA</t>
  </si>
  <si>
    <t>Purdue NCAA</t>
  </si>
  <si>
    <t>Saint Louis NCAA</t>
  </si>
  <si>
    <t>Saint Mary's (CA) NCAA</t>
  </si>
  <si>
    <t>Seton Hall NCAA</t>
  </si>
  <si>
    <t>St. John's (NY) NCAA</t>
  </si>
  <si>
    <t>Syracuse NCAA</t>
  </si>
  <si>
    <t>Temple NCAA</t>
  </si>
  <si>
    <t>Tennessee NCAA</t>
  </si>
  <si>
    <t>Texas Tech NCAA</t>
  </si>
  <si>
    <t>Utah State NCAA</t>
  </si>
  <si>
    <t>Vermont NCAA</t>
  </si>
  <si>
    <t>Villanova NCAA</t>
  </si>
  <si>
    <t>Virginia Commonwealth NCAA</t>
  </si>
  <si>
    <t>Virginia Tech NCAA</t>
  </si>
  <si>
    <t>Virginia NCAA</t>
  </si>
  <si>
    <t>Washington NCAA</t>
  </si>
  <si>
    <t>Wisconsin NCAA</t>
  </si>
  <si>
    <t>Wofford NCAA</t>
  </si>
  <si>
    <t>Yale NCAA</t>
  </si>
  <si>
    <t>Conf_W-L%</t>
  </si>
  <si>
    <t>Home_W-L%</t>
  </si>
  <si>
    <t>Away_W-L%</t>
  </si>
  <si>
    <t>Point_T-O%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</si>
</sst>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69"/>
  <sheetViews>
    <sheetView tabSelected="1" workbookViewId="0">
      <selection activeCell="V15" sqref="V15"/>
    </sheetView>
  </sheetViews>
  <sheetFormatPr defaultRowHeight="14.4" x14ac:dyDescent="0.3"/>
  <cols>
    <col min="1" max="1" width="27.77734375" bestFit="1" customWidth="1"/>
    <col min="2" max="4" width="3" bestFit="1" customWidth="1"/>
    <col min="5" max="5" width="6" bestFit="1" customWidth="1"/>
    <col min="6" max="7" width="6.6640625" bestFit="1" customWidth="1"/>
    <col min="8" max="9" width="3" bestFit="1" customWidth="1"/>
    <col min="11" max="12" width="3" bestFit="1" customWidth="1"/>
    <col min="14" max="15" width="3" bestFit="1" customWidth="1"/>
    <col min="17" max="17" width="5" bestFit="1" customWidth="1"/>
    <col min="18" max="18" width="5.109375" bestFit="1" customWidth="1"/>
    <col min="20" max="20" width="5" bestFit="1" customWidth="1"/>
    <col min="21" max="24" width="6" bestFit="1" customWidth="1"/>
    <col min="25" max="26" width="5.6640625" bestFit="1" customWidth="1"/>
    <col min="27" max="27" width="5.33203125" bestFit="1" customWidth="1"/>
    <col min="28" max="28" width="5.5546875" bestFit="1" customWidth="1"/>
    <col min="29" max="29" width="6" bestFit="1" customWidth="1"/>
    <col min="30" max="31" width="6.109375" bestFit="1" customWidth="1"/>
    <col min="32" max="32" width="7.33203125" bestFit="1" customWidth="1"/>
  </cols>
  <sheetData>
    <row r="1" spans="1:32" ht="28.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</v>
      </c>
      <c r="I1" s="1" t="s">
        <v>3</v>
      </c>
      <c r="J1" s="1" t="s">
        <v>90</v>
      </c>
      <c r="K1" s="1" t="s">
        <v>2</v>
      </c>
      <c r="L1" s="1" t="s">
        <v>3</v>
      </c>
      <c r="M1" s="1" t="s">
        <v>91</v>
      </c>
      <c r="N1" s="1" t="s">
        <v>2</v>
      </c>
      <c r="O1" s="1" t="s">
        <v>3</v>
      </c>
      <c r="P1" s="1" t="s">
        <v>92</v>
      </c>
      <c r="Q1" s="1" t="s">
        <v>7</v>
      </c>
      <c r="R1" s="1" t="s">
        <v>8</v>
      </c>
      <c r="S1" s="1" t="s">
        <v>93</v>
      </c>
      <c r="T1" s="1" t="s">
        <v>9</v>
      </c>
      <c r="U1" s="1" t="s">
        <v>10</v>
      </c>
      <c r="V1" s="1" t="s">
        <v>11</v>
      </c>
      <c r="W1" s="1" t="s">
        <v>12</v>
      </c>
      <c r="X1" s="1" t="s">
        <v>13</v>
      </c>
      <c r="Y1" s="1" t="s">
        <v>14</v>
      </c>
      <c r="Z1" s="1" t="s">
        <v>15</v>
      </c>
      <c r="AA1" s="1" t="s">
        <v>16</v>
      </c>
      <c r="AB1" s="1" t="s">
        <v>17</v>
      </c>
      <c r="AC1" s="1" t="s">
        <v>18</v>
      </c>
      <c r="AD1" s="1" t="s">
        <v>19</v>
      </c>
      <c r="AE1" s="1" t="s">
        <v>20</v>
      </c>
      <c r="AF1" s="1" t="s">
        <v>21</v>
      </c>
    </row>
    <row r="2" spans="1:32" x14ac:dyDescent="0.3">
      <c r="A2" s="2" t="s">
        <v>22</v>
      </c>
      <c r="B2" s="2">
        <v>34</v>
      </c>
      <c r="C2" s="2">
        <v>27</v>
      </c>
      <c r="D2" s="2">
        <v>7</v>
      </c>
      <c r="E2" s="2">
        <v>0.79400000000000004</v>
      </c>
      <c r="F2" s="2">
        <v>-1.91</v>
      </c>
      <c r="G2" s="2">
        <v>-7.34</v>
      </c>
      <c r="H2" s="2">
        <v>14</v>
      </c>
      <c r="I2" s="2">
        <v>4</v>
      </c>
      <c r="J2" s="2">
        <f>H2/SUM(H2+I2)</f>
        <v>0.77777777777777779</v>
      </c>
      <c r="K2" s="2">
        <v>13</v>
      </c>
      <c r="L2" s="2">
        <v>2</v>
      </c>
      <c r="M2" s="2">
        <f>K2/SUM(K2+L2)</f>
        <v>0.8666666666666667</v>
      </c>
      <c r="N2" s="2">
        <v>10</v>
      </c>
      <c r="O2" s="2">
        <v>4</v>
      </c>
      <c r="P2" s="2">
        <f>N2/SUM(N2+O2)</f>
        <v>0.7142857142857143</v>
      </c>
      <c r="Q2" s="2">
        <v>2502</v>
      </c>
      <c r="R2" s="2">
        <v>2161</v>
      </c>
      <c r="S2" s="2">
        <f>Q2/SUM(Q2+R2)</f>
        <v>0.5365644434913146</v>
      </c>
      <c r="T2" s="2">
        <v>67.2</v>
      </c>
      <c r="U2" s="2">
        <v>108.6</v>
      </c>
      <c r="V2" s="2">
        <v>0.33600000000000002</v>
      </c>
      <c r="W2" s="2">
        <v>0.34499999999999997</v>
      </c>
      <c r="X2" s="2">
        <v>0.56499999999999995</v>
      </c>
      <c r="Y2" s="2">
        <v>50.3</v>
      </c>
      <c r="Z2" s="2">
        <v>58.5</v>
      </c>
      <c r="AA2" s="2">
        <v>12.9</v>
      </c>
      <c r="AB2" s="2">
        <v>8</v>
      </c>
      <c r="AC2" s="2">
        <v>0.53500000000000003</v>
      </c>
      <c r="AD2" s="2">
        <v>15.5</v>
      </c>
      <c r="AE2" s="2">
        <v>28.8</v>
      </c>
      <c r="AF2" s="2">
        <v>0.23899999999999999</v>
      </c>
    </row>
    <row r="3" spans="1:32" x14ac:dyDescent="0.3">
      <c r="A3" s="2" t="s">
        <v>23</v>
      </c>
      <c r="B3" s="2">
        <v>34</v>
      </c>
      <c r="C3" s="2">
        <v>23</v>
      </c>
      <c r="D3" s="2">
        <v>11</v>
      </c>
      <c r="E3" s="2">
        <v>0.67600000000000005</v>
      </c>
      <c r="F3" s="2">
        <v>10.28</v>
      </c>
      <c r="G3" s="2">
        <v>6.04</v>
      </c>
      <c r="H3" s="2">
        <v>12</v>
      </c>
      <c r="I3" s="2">
        <v>6</v>
      </c>
      <c r="J3" s="2">
        <f t="shared" ref="J3:J66" si="0">H3/SUM(H3+I3)</f>
        <v>0.66666666666666663</v>
      </c>
      <c r="K3" s="2">
        <v>13</v>
      </c>
      <c r="L3" s="2">
        <v>3</v>
      </c>
      <c r="M3" s="2">
        <f t="shared" ref="M3:M66" si="1">K3/SUM(K3+L3)</f>
        <v>0.8125</v>
      </c>
      <c r="N3" s="2">
        <v>6</v>
      </c>
      <c r="O3" s="2">
        <v>5</v>
      </c>
      <c r="P3" s="2">
        <f t="shared" ref="P3:P66" si="2">N3/SUM(N3+O3)</f>
        <v>0.54545454545454541</v>
      </c>
      <c r="Q3" s="2">
        <v>2638</v>
      </c>
      <c r="R3" s="2">
        <v>2494</v>
      </c>
      <c r="S3" s="2">
        <f t="shared" ref="S3:S66" si="3">Q3/SUM(Q3+R3)</f>
        <v>0.51402961808261882</v>
      </c>
      <c r="T3" s="2">
        <v>72.5</v>
      </c>
      <c r="U3" s="2">
        <v>105.4</v>
      </c>
      <c r="V3" s="2">
        <v>0.438</v>
      </c>
      <c r="W3" s="2">
        <v>0.35499999999999998</v>
      </c>
      <c r="X3" s="2">
        <v>0.54300000000000004</v>
      </c>
      <c r="Y3" s="2">
        <v>52.6</v>
      </c>
      <c r="Z3" s="2">
        <v>51.1</v>
      </c>
      <c r="AA3" s="2">
        <v>8.5</v>
      </c>
      <c r="AB3" s="2">
        <v>9.6</v>
      </c>
      <c r="AC3" s="2">
        <v>0.50600000000000001</v>
      </c>
      <c r="AD3" s="2">
        <v>16.100000000000001</v>
      </c>
      <c r="AE3" s="2">
        <v>31.3</v>
      </c>
      <c r="AF3" s="2">
        <v>0.29799999999999999</v>
      </c>
    </row>
    <row r="4" spans="1:32" x14ac:dyDescent="0.3">
      <c r="A4" s="2" t="s">
        <v>24</v>
      </c>
      <c r="B4" s="2">
        <v>40</v>
      </c>
      <c r="C4" s="2">
        <v>30</v>
      </c>
      <c r="D4" s="2">
        <v>10</v>
      </c>
      <c r="E4" s="2">
        <v>0.75</v>
      </c>
      <c r="F4" s="2">
        <v>20.84</v>
      </c>
      <c r="G4" s="2">
        <v>10.92</v>
      </c>
      <c r="H4" s="2">
        <v>11</v>
      </c>
      <c r="I4" s="2">
        <v>7</v>
      </c>
      <c r="J4" s="2">
        <f t="shared" si="0"/>
        <v>0.61111111111111116</v>
      </c>
      <c r="K4" s="2">
        <v>15</v>
      </c>
      <c r="L4" s="2">
        <v>2</v>
      </c>
      <c r="M4" s="2">
        <f t="shared" si="1"/>
        <v>0.88235294117647056</v>
      </c>
      <c r="N4" s="2">
        <v>4</v>
      </c>
      <c r="O4" s="2">
        <v>6</v>
      </c>
      <c r="P4" s="2">
        <f t="shared" si="2"/>
        <v>0.4</v>
      </c>
      <c r="Q4" s="2">
        <v>3188</v>
      </c>
      <c r="R4" s="2">
        <v>2750</v>
      </c>
      <c r="S4" s="2">
        <f t="shared" si="3"/>
        <v>0.5368811047490738</v>
      </c>
      <c r="T4" s="2">
        <v>69.2</v>
      </c>
      <c r="U4" s="2">
        <v>114.1</v>
      </c>
      <c r="V4" s="2">
        <v>0.312</v>
      </c>
      <c r="W4" s="2">
        <v>0.49399999999999999</v>
      </c>
      <c r="X4" s="2">
        <v>0.56899999999999995</v>
      </c>
      <c r="Y4" s="2">
        <v>49.2</v>
      </c>
      <c r="Z4" s="2">
        <v>52.1</v>
      </c>
      <c r="AA4" s="2">
        <v>13.2</v>
      </c>
      <c r="AB4" s="2">
        <v>15.6</v>
      </c>
      <c r="AC4" s="2">
        <v>0.54300000000000004</v>
      </c>
      <c r="AD4" s="2">
        <v>14.3</v>
      </c>
      <c r="AE4" s="2">
        <v>31.6</v>
      </c>
      <c r="AF4" s="2">
        <v>0.221</v>
      </c>
    </row>
    <row r="5" spans="1:32" x14ac:dyDescent="0.3">
      <c r="A5" s="2" t="s">
        <v>25</v>
      </c>
      <c r="B5" s="2">
        <v>34</v>
      </c>
      <c r="C5" s="2">
        <v>20</v>
      </c>
      <c r="D5" s="2">
        <v>14</v>
      </c>
      <c r="E5" s="2">
        <v>0.58799999999999997</v>
      </c>
      <c r="F5" s="2">
        <v>13.38</v>
      </c>
      <c r="G5" s="2">
        <v>9.26</v>
      </c>
      <c r="H5" s="2">
        <v>10</v>
      </c>
      <c r="I5" s="2">
        <v>8</v>
      </c>
      <c r="J5" s="2">
        <f t="shared" si="0"/>
        <v>0.55555555555555558</v>
      </c>
      <c r="K5" s="2">
        <v>13</v>
      </c>
      <c r="L5" s="2">
        <v>5</v>
      </c>
      <c r="M5" s="2">
        <f t="shared" si="1"/>
        <v>0.72222222222222221</v>
      </c>
      <c r="N5" s="2">
        <v>5</v>
      </c>
      <c r="O5" s="2">
        <v>6</v>
      </c>
      <c r="P5" s="2">
        <f t="shared" si="2"/>
        <v>0.45454545454545453</v>
      </c>
      <c r="Q5" s="2">
        <v>2442</v>
      </c>
      <c r="R5" s="2">
        <v>2302</v>
      </c>
      <c r="S5" s="2">
        <f t="shared" si="3"/>
        <v>0.51475548060708265</v>
      </c>
      <c r="T5" s="2">
        <v>66.5</v>
      </c>
      <c r="U5" s="2">
        <v>107.6</v>
      </c>
      <c r="V5" s="2">
        <v>0.32300000000000001</v>
      </c>
      <c r="W5" s="2">
        <v>0.40799999999999997</v>
      </c>
      <c r="X5" s="2">
        <v>0.53800000000000003</v>
      </c>
      <c r="Y5" s="2">
        <v>54.1</v>
      </c>
      <c r="Z5" s="2">
        <v>54.4</v>
      </c>
      <c r="AA5" s="2">
        <v>9.1999999999999993</v>
      </c>
      <c r="AB5" s="2">
        <v>13.8</v>
      </c>
      <c r="AC5" s="2">
        <v>0.51200000000000001</v>
      </c>
      <c r="AD5" s="2">
        <v>16.399999999999999</v>
      </c>
      <c r="AE5" s="2">
        <v>37.6</v>
      </c>
      <c r="AF5" s="2">
        <v>0.219</v>
      </c>
    </row>
    <row r="6" spans="1:32" x14ac:dyDescent="0.3">
      <c r="A6" s="2" t="s">
        <v>26</v>
      </c>
      <c r="B6" s="2">
        <v>33</v>
      </c>
      <c r="C6" s="2">
        <v>27</v>
      </c>
      <c r="D6" s="2">
        <v>6</v>
      </c>
      <c r="E6" s="2">
        <v>0.81799999999999995</v>
      </c>
      <c r="F6" s="2">
        <v>9.1199999999999992</v>
      </c>
      <c r="G6" s="2">
        <v>-2.6</v>
      </c>
      <c r="H6" s="2">
        <v>16</v>
      </c>
      <c r="I6" s="2">
        <v>2</v>
      </c>
      <c r="J6" s="2">
        <f t="shared" si="0"/>
        <v>0.88888888888888884</v>
      </c>
      <c r="K6" s="2">
        <v>13</v>
      </c>
      <c r="L6" s="2">
        <v>1</v>
      </c>
      <c r="M6" s="2">
        <f t="shared" si="1"/>
        <v>0.9285714285714286</v>
      </c>
      <c r="N6" s="2">
        <v>12</v>
      </c>
      <c r="O6" s="2">
        <v>3</v>
      </c>
      <c r="P6" s="2">
        <f t="shared" si="2"/>
        <v>0.8</v>
      </c>
      <c r="Q6" s="2">
        <v>2868</v>
      </c>
      <c r="R6" s="2">
        <v>2439</v>
      </c>
      <c r="S6" s="2">
        <f t="shared" si="3"/>
        <v>0.54041831543244767</v>
      </c>
      <c r="T6" s="2">
        <v>74.2</v>
      </c>
      <c r="U6" s="2">
        <v>116.2</v>
      </c>
      <c r="V6" s="2">
        <v>0.28599999999999998</v>
      </c>
      <c r="W6" s="2">
        <v>0.44</v>
      </c>
      <c r="X6" s="2">
        <v>0.60299999999999998</v>
      </c>
      <c r="Y6" s="2">
        <v>52.2</v>
      </c>
      <c r="Z6" s="2">
        <v>61.9</v>
      </c>
      <c r="AA6" s="2">
        <v>8.9</v>
      </c>
      <c r="AB6" s="2">
        <v>9.1</v>
      </c>
      <c r="AC6" s="2">
        <v>0.57999999999999996</v>
      </c>
      <c r="AD6" s="2">
        <v>13.7</v>
      </c>
      <c r="AE6" s="2">
        <v>25.1</v>
      </c>
      <c r="AF6" s="2">
        <v>0.21099999999999999</v>
      </c>
    </row>
    <row r="7" spans="1:32" x14ac:dyDescent="0.3">
      <c r="A7" s="2" t="s">
        <v>27</v>
      </c>
      <c r="B7" s="2">
        <v>35</v>
      </c>
      <c r="C7" s="2">
        <v>20</v>
      </c>
      <c r="D7" s="2">
        <v>15</v>
      </c>
      <c r="E7" s="2">
        <v>0.57099999999999995</v>
      </c>
      <c r="F7" s="2">
        <v>-0.08</v>
      </c>
      <c r="G7" s="2">
        <v>-0.9</v>
      </c>
      <c r="H7" s="2">
        <v>9</v>
      </c>
      <c r="I7" s="2">
        <v>9</v>
      </c>
      <c r="J7" s="2">
        <f t="shared" si="0"/>
        <v>0.5</v>
      </c>
      <c r="K7" s="2">
        <v>10</v>
      </c>
      <c r="L7" s="2">
        <v>6</v>
      </c>
      <c r="M7" s="2">
        <f t="shared" si="1"/>
        <v>0.625</v>
      </c>
      <c r="N7" s="2">
        <v>5</v>
      </c>
      <c r="O7" s="2">
        <v>8</v>
      </c>
      <c r="P7" s="2">
        <f t="shared" si="2"/>
        <v>0.38461538461538464</v>
      </c>
      <c r="Q7" s="2">
        <v>2329</v>
      </c>
      <c r="R7" s="2">
        <v>2285</v>
      </c>
      <c r="S7" s="2">
        <f t="shared" si="3"/>
        <v>0.5047680970957954</v>
      </c>
      <c r="T7" s="2">
        <v>66.2</v>
      </c>
      <c r="U7" s="2">
        <v>100.2</v>
      </c>
      <c r="V7" s="2">
        <v>0.35899999999999999</v>
      </c>
      <c r="W7" s="2">
        <v>0.34799999999999998</v>
      </c>
      <c r="X7" s="2">
        <v>0.53100000000000003</v>
      </c>
      <c r="Y7" s="2">
        <v>50.7</v>
      </c>
      <c r="Z7" s="2">
        <v>52.1</v>
      </c>
      <c r="AA7" s="2">
        <v>8</v>
      </c>
      <c r="AB7" s="2">
        <v>11.6</v>
      </c>
      <c r="AC7" s="2">
        <v>0.497</v>
      </c>
      <c r="AD7" s="2">
        <v>16.7</v>
      </c>
      <c r="AE7" s="2">
        <v>26.9</v>
      </c>
      <c r="AF7" s="2">
        <v>0.248</v>
      </c>
    </row>
    <row r="8" spans="1:32" x14ac:dyDescent="0.3">
      <c r="A8" s="2" t="s">
        <v>28</v>
      </c>
      <c r="B8" s="2">
        <v>36</v>
      </c>
      <c r="C8" s="2">
        <v>32</v>
      </c>
      <c r="D8" s="2">
        <v>4</v>
      </c>
      <c r="E8" s="2">
        <v>0.88900000000000001</v>
      </c>
      <c r="F8" s="2">
        <v>15.56</v>
      </c>
      <c r="G8" s="2">
        <v>2.62</v>
      </c>
      <c r="H8" s="2">
        <v>16</v>
      </c>
      <c r="I8" s="2">
        <v>2</v>
      </c>
      <c r="J8" s="2">
        <f t="shared" si="0"/>
        <v>0.88888888888888884</v>
      </c>
      <c r="K8" s="2">
        <v>14</v>
      </c>
      <c r="L8" s="2">
        <v>0</v>
      </c>
      <c r="M8" s="2">
        <f t="shared" si="1"/>
        <v>1</v>
      </c>
      <c r="N8" s="2">
        <v>12</v>
      </c>
      <c r="O8" s="2">
        <v>3</v>
      </c>
      <c r="P8" s="2">
        <f t="shared" si="2"/>
        <v>0.8</v>
      </c>
      <c r="Q8" s="2">
        <v>3037</v>
      </c>
      <c r="R8" s="2">
        <v>2550</v>
      </c>
      <c r="S8" s="2">
        <f t="shared" si="3"/>
        <v>0.54358331841775553</v>
      </c>
      <c r="T8" s="2">
        <v>74.5</v>
      </c>
      <c r="U8" s="2">
        <v>112.8</v>
      </c>
      <c r="V8" s="2">
        <v>0.32700000000000001</v>
      </c>
      <c r="W8" s="2">
        <v>0.436</v>
      </c>
      <c r="X8" s="2">
        <v>0.56100000000000005</v>
      </c>
      <c r="Y8" s="2">
        <v>52.4</v>
      </c>
      <c r="Z8" s="2">
        <v>55.3</v>
      </c>
      <c r="AA8" s="2">
        <v>9.8000000000000007</v>
      </c>
      <c r="AB8" s="2">
        <v>10.1</v>
      </c>
      <c r="AC8" s="2">
        <v>0.53500000000000003</v>
      </c>
      <c r="AD8" s="2">
        <v>13.8</v>
      </c>
      <c r="AE8" s="2">
        <v>31.8</v>
      </c>
      <c r="AF8" s="2">
        <v>0.22500000000000001</v>
      </c>
    </row>
    <row r="9" spans="1:32" x14ac:dyDescent="0.3">
      <c r="A9" s="2" t="s">
        <v>29</v>
      </c>
      <c r="B9" s="2">
        <v>37</v>
      </c>
      <c r="C9" s="2">
        <v>31</v>
      </c>
      <c r="D9" s="2">
        <v>6</v>
      </c>
      <c r="E9" s="2">
        <v>0.83799999999999997</v>
      </c>
      <c r="F9" s="2">
        <v>5.7</v>
      </c>
      <c r="G9" s="2">
        <v>-2.2999999999999998</v>
      </c>
      <c r="H9" s="2">
        <v>15</v>
      </c>
      <c r="I9" s="2">
        <v>1</v>
      </c>
      <c r="J9" s="2">
        <f t="shared" si="0"/>
        <v>0.9375</v>
      </c>
      <c r="K9" s="2">
        <v>12</v>
      </c>
      <c r="L9" s="2">
        <v>2</v>
      </c>
      <c r="M9" s="2">
        <f t="shared" si="1"/>
        <v>0.8571428571428571</v>
      </c>
      <c r="N9" s="2">
        <v>13</v>
      </c>
      <c r="O9" s="2">
        <v>2</v>
      </c>
      <c r="P9" s="2">
        <f t="shared" si="2"/>
        <v>0.8666666666666667</v>
      </c>
      <c r="Q9" s="2">
        <v>2675</v>
      </c>
      <c r="R9" s="2">
        <v>2353</v>
      </c>
      <c r="S9" s="2">
        <f t="shared" si="3"/>
        <v>0.53202068416865556</v>
      </c>
      <c r="T9" s="2">
        <v>66.2</v>
      </c>
      <c r="U9" s="2">
        <v>107.8</v>
      </c>
      <c r="V9" s="2">
        <v>0.29599999999999999</v>
      </c>
      <c r="W9" s="2">
        <v>0.32500000000000001</v>
      </c>
      <c r="X9" s="2">
        <v>0.54300000000000004</v>
      </c>
      <c r="Y9" s="2">
        <v>54.8</v>
      </c>
      <c r="Z9" s="2">
        <v>48.5</v>
      </c>
      <c r="AA9" s="2">
        <v>8.5</v>
      </c>
      <c r="AB9" s="2">
        <v>10.9</v>
      </c>
      <c r="AC9" s="2">
        <v>0.51600000000000001</v>
      </c>
      <c r="AD9" s="2">
        <v>15.2</v>
      </c>
      <c r="AE9" s="2">
        <v>34</v>
      </c>
      <c r="AF9" s="2">
        <v>0.20799999999999999</v>
      </c>
    </row>
    <row r="10" spans="1:32" x14ac:dyDescent="0.3">
      <c r="A10" s="2" t="s">
        <v>30</v>
      </c>
      <c r="B10" s="2">
        <v>33</v>
      </c>
      <c r="C10" s="2">
        <v>24</v>
      </c>
      <c r="D10" s="2">
        <v>9</v>
      </c>
      <c r="E10" s="2">
        <v>0.72699999999999998</v>
      </c>
      <c r="F10" s="2">
        <v>13.37</v>
      </c>
      <c r="G10" s="2">
        <v>5.58</v>
      </c>
      <c r="H10" s="2">
        <v>13</v>
      </c>
      <c r="I10" s="2">
        <v>5</v>
      </c>
      <c r="J10" s="2">
        <f t="shared" si="0"/>
        <v>0.72222222222222221</v>
      </c>
      <c r="K10" s="2">
        <v>15</v>
      </c>
      <c r="L10" s="2">
        <v>2</v>
      </c>
      <c r="M10" s="2">
        <f t="shared" si="1"/>
        <v>0.88235294117647056</v>
      </c>
      <c r="N10" s="2">
        <v>5</v>
      </c>
      <c r="O10" s="2">
        <v>5</v>
      </c>
      <c r="P10" s="2">
        <f t="shared" si="2"/>
        <v>0.5</v>
      </c>
      <c r="Q10" s="2">
        <v>2385</v>
      </c>
      <c r="R10" s="2">
        <v>2128</v>
      </c>
      <c r="S10" s="2">
        <f t="shared" si="3"/>
        <v>0.52847329935741194</v>
      </c>
      <c r="T10" s="2">
        <v>67.3</v>
      </c>
      <c r="U10" s="2">
        <v>107</v>
      </c>
      <c r="V10" s="2">
        <v>0.45300000000000001</v>
      </c>
      <c r="W10" s="2">
        <v>0.35599999999999998</v>
      </c>
      <c r="X10" s="2">
        <v>0.55700000000000005</v>
      </c>
      <c r="Y10" s="2">
        <v>51.5</v>
      </c>
      <c r="Z10" s="2">
        <v>53.6</v>
      </c>
      <c r="AA10" s="2">
        <v>8.5</v>
      </c>
      <c r="AB10" s="2">
        <v>12.6</v>
      </c>
      <c r="AC10" s="2">
        <v>0.52900000000000003</v>
      </c>
      <c r="AD10" s="2">
        <v>15.5</v>
      </c>
      <c r="AE10" s="2">
        <v>29</v>
      </c>
      <c r="AF10" s="2">
        <v>0.29399999999999998</v>
      </c>
    </row>
    <row r="11" spans="1:32" x14ac:dyDescent="0.3">
      <c r="A11" s="2" t="s">
        <v>31</v>
      </c>
      <c r="B11" s="2">
        <v>35</v>
      </c>
      <c r="C11" s="2">
        <v>28</v>
      </c>
      <c r="D11" s="2">
        <v>7</v>
      </c>
      <c r="E11" s="2">
        <v>0.8</v>
      </c>
      <c r="F11" s="2">
        <v>14.53</v>
      </c>
      <c r="G11" s="2">
        <v>5.5</v>
      </c>
      <c r="H11" s="2">
        <v>14</v>
      </c>
      <c r="I11" s="2">
        <v>4</v>
      </c>
      <c r="J11" s="2">
        <f t="shared" si="0"/>
        <v>0.77777777777777779</v>
      </c>
      <c r="K11" s="2">
        <v>16</v>
      </c>
      <c r="L11" s="2">
        <v>2</v>
      </c>
      <c r="M11" s="2">
        <f t="shared" si="1"/>
        <v>0.88888888888888884</v>
      </c>
      <c r="N11" s="2">
        <v>7</v>
      </c>
      <c r="O11" s="2">
        <v>4</v>
      </c>
      <c r="P11" s="2">
        <f t="shared" si="2"/>
        <v>0.63636363636363635</v>
      </c>
      <c r="Q11" s="2">
        <v>2510</v>
      </c>
      <c r="R11" s="2">
        <v>2194</v>
      </c>
      <c r="S11" s="2">
        <f t="shared" si="3"/>
        <v>0.53358843537414968</v>
      </c>
      <c r="T11" s="2">
        <v>65</v>
      </c>
      <c r="U11" s="2">
        <v>109.5</v>
      </c>
      <c r="V11" s="2">
        <v>0.376</v>
      </c>
      <c r="W11" s="2">
        <v>0.33300000000000002</v>
      </c>
      <c r="X11" s="2">
        <v>0.52800000000000002</v>
      </c>
      <c r="Y11" s="2">
        <v>53.7</v>
      </c>
      <c r="Z11" s="2">
        <v>53.4</v>
      </c>
      <c r="AA11" s="2">
        <v>9.3000000000000007</v>
      </c>
      <c r="AB11" s="2">
        <v>14.5</v>
      </c>
      <c r="AC11" s="2">
        <v>0.49</v>
      </c>
      <c r="AD11" s="2">
        <v>13.3</v>
      </c>
      <c r="AE11" s="2">
        <v>36.9</v>
      </c>
      <c r="AF11" s="2">
        <v>0.26500000000000001</v>
      </c>
    </row>
    <row r="12" spans="1:32" x14ac:dyDescent="0.3">
      <c r="A12" s="2" t="s">
        <v>32</v>
      </c>
      <c r="B12" s="2">
        <v>35</v>
      </c>
      <c r="C12" s="2">
        <v>24</v>
      </c>
      <c r="D12" s="2">
        <v>11</v>
      </c>
      <c r="E12" s="2">
        <v>0.68600000000000005</v>
      </c>
      <c r="F12" s="2">
        <v>1.23</v>
      </c>
      <c r="G12" s="2">
        <v>-3.83</v>
      </c>
      <c r="H12" s="2">
        <v>13</v>
      </c>
      <c r="I12" s="2">
        <v>5</v>
      </c>
      <c r="J12" s="2">
        <f t="shared" si="0"/>
        <v>0.72222222222222221</v>
      </c>
      <c r="K12" s="2">
        <v>15</v>
      </c>
      <c r="L12" s="2">
        <v>1</v>
      </c>
      <c r="M12" s="2">
        <f t="shared" si="1"/>
        <v>0.9375</v>
      </c>
      <c r="N12" s="2">
        <v>9</v>
      </c>
      <c r="O12" s="2">
        <v>9</v>
      </c>
      <c r="P12" s="2">
        <f t="shared" si="2"/>
        <v>0.5</v>
      </c>
      <c r="Q12" s="2">
        <v>2648</v>
      </c>
      <c r="R12" s="2">
        <v>2458</v>
      </c>
      <c r="S12" s="2">
        <f t="shared" si="3"/>
        <v>0.51860556208382291</v>
      </c>
      <c r="T12" s="2">
        <v>67.8</v>
      </c>
      <c r="U12" s="2">
        <v>110.3</v>
      </c>
      <c r="V12" s="2">
        <v>0.28199999999999997</v>
      </c>
      <c r="W12" s="2">
        <v>0.40899999999999997</v>
      </c>
      <c r="X12" s="2">
        <v>0.58499999999999996</v>
      </c>
      <c r="Y12" s="2">
        <v>52.7</v>
      </c>
      <c r="Z12" s="2">
        <v>56.6</v>
      </c>
      <c r="AA12" s="2">
        <v>8.9</v>
      </c>
      <c r="AB12" s="2">
        <v>10</v>
      </c>
      <c r="AC12" s="2">
        <v>0.55900000000000005</v>
      </c>
      <c r="AD12" s="2">
        <v>16.8</v>
      </c>
      <c r="AE12" s="2">
        <v>29.1</v>
      </c>
      <c r="AF12" s="2">
        <v>0.21</v>
      </c>
    </row>
    <row r="13" spans="1:32" x14ac:dyDescent="0.3">
      <c r="A13" s="2" t="s">
        <v>33</v>
      </c>
      <c r="B13" s="2">
        <v>38</v>
      </c>
      <c r="C13" s="2">
        <v>32</v>
      </c>
      <c r="D13" s="2">
        <v>6</v>
      </c>
      <c r="E13" s="2">
        <v>0.84199999999999997</v>
      </c>
      <c r="F13" s="2">
        <v>26.9</v>
      </c>
      <c r="G13" s="2">
        <v>11.98</v>
      </c>
      <c r="H13" s="2">
        <v>14</v>
      </c>
      <c r="I13" s="2">
        <v>4</v>
      </c>
      <c r="J13" s="2">
        <f t="shared" si="0"/>
        <v>0.77777777777777779</v>
      </c>
      <c r="K13" s="2">
        <v>15</v>
      </c>
      <c r="L13" s="2">
        <v>2</v>
      </c>
      <c r="M13" s="2">
        <f t="shared" si="1"/>
        <v>0.88235294117647056</v>
      </c>
      <c r="N13" s="2">
        <v>7</v>
      </c>
      <c r="O13" s="2">
        <v>2</v>
      </c>
      <c r="P13" s="2">
        <f t="shared" si="2"/>
        <v>0.77777777777777779</v>
      </c>
      <c r="Q13" s="2">
        <v>3143</v>
      </c>
      <c r="R13" s="2">
        <v>2576</v>
      </c>
      <c r="S13" s="2">
        <f t="shared" si="3"/>
        <v>0.54957160342717259</v>
      </c>
      <c r="T13" s="2">
        <v>73.2</v>
      </c>
      <c r="U13" s="2">
        <v>112.6</v>
      </c>
      <c r="V13" s="2">
        <v>0.33200000000000002</v>
      </c>
      <c r="W13" s="2">
        <v>0.373</v>
      </c>
      <c r="X13" s="2">
        <v>0.56100000000000005</v>
      </c>
      <c r="Y13" s="2">
        <v>53.8</v>
      </c>
      <c r="Z13" s="2">
        <v>52.4</v>
      </c>
      <c r="AA13" s="2">
        <v>12.4</v>
      </c>
      <c r="AB13" s="2">
        <v>16.399999999999999</v>
      </c>
      <c r="AC13" s="2">
        <v>0.53600000000000003</v>
      </c>
      <c r="AD13" s="2">
        <v>14.8</v>
      </c>
      <c r="AE13" s="2">
        <v>35.299999999999997</v>
      </c>
      <c r="AF13" s="2">
        <v>0.22800000000000001</v>
      </c>
    </row>
    <row r="14" spans="1:32" x14ac:dyDescent="0.3">
      <c r="A14" s="2" t="s">
        <v>34</v>
      </c>
      <c r="B14" s="2">
        <v>35</v>
      </c>
      <c r="C14" s="2">
        <v>21</v>
      </c>
      <c r="D14" s="2">
        <v>14</v>
      </c>
      <c r="E14" s="2">
        <v>0.6</v>
      </c>
      <c r="F14" s="2">
        <v>-6.09</v>
      </c>
      <c r="G14" s="2">
        <v>-7.24</v>
      </c>
      <c r="H14" s="2">
        <v>12</v>
      </c>
      <c r="I14" s="2">
        <v>6</v>
      </c>
      <c r="J14" s="2">
        <f t="shared" si="0"/>
        <v>0.66666666666666663</v>
      </c>
      <c r="K14" s="2">
        <v>13</v>
      </c>
      <c r="L14" s="2">
        <v>4</v>
      </c>
      <c r="M14" s="2">
        <f t="shared" si="1"/>
        <v>0.76470588235294112</v>
      </c>
      <c r="N14" s="2">
        <v>7</v>
      </c>
      <c r="O14" s="2">
        <v>9</v>
      </c>
      <c r="P14" s="2">
        <f t="shared" si="2"/>
        <v>0.4375</v>
      </c>
      <c r="Q14" s="2">
        <v>2620</v>
      </c>
      <c r="R14" s="2">
        <v>2515</v>
      </c>
      <c r="S14" s="2">
        <f t="shared" si="3"/>
        <v>0.51022395326192793</v>
      </c>
      <c r="T14" s="2">
        <v>68.7</v>
      </c>
      <c r="U14" s="2">
        <v>107.5</v>
      </c>
      <c r="V14" s="2">
        <v>0.36199999999999999</v>
      </c>
      <c r="W14" s="2">
        <v>0.34699999999999998</v>
      </c>
      <c r="X14" s="2">
        <v>0.57599999999999996</v>
      </c>
      <c r="Y14" s="2">
        <v>49.3</v>
      </c>
      <c r="Z14" s="2">
        <v>52.8</v>
      </c>
      <c r="AA14" s="2">
        <v>10.7</v>
      </c>
      <c r="AB14" s="2">
        <v>10.5</v>
      </c>
      <c r="AC14" s="2">
        <v>0.54400000000000004</v>
      </c>
      <c r="AD14" s="2">
        <v>17.3</v>
      </c>
      <c r="AE14" s="2">
        <v>28.8</v>
      </c>
      <c r="AF14" s="2">
        <v>0.26300000000000001</v>
      </c>
    </row>
    <row r="15" spans="1:32" x14ac:dyDescent="0.3">
      <c r="A15" s="2" t="s">
        <v>35</v>
      </c>
      <c r="B15" s="2">
        <v>37</v>
      </c>
      <c r="C15" s="2">
        <v>29</v>
      </c>
      <c r="D15" s="2">
        <v>8</v>
      </c>
      <c r="E15" s="2">
        <v>0.78400000000000003</v>
      </c>
      <c r="F15" s="2">
        <v>17.989999999999998</v>
      </c>
      <c r="G15" s="2">
        <v>10.26</v>
      </c>
      <c r="H15" s="2">
        <v>13</v>
      </c>
      <c r="I15" s="2">
        <v>5</v>
      </c>
      <c r="J15" s="2">
        <f t="shared" si="0"/>
        <v>0.72222222222222221</v>
      </c>
      <c r="K15" s="2">
        <v>15</v>
      </c>
      <c r="L15" s="2">
        <v>1</v>
      </c>
      <c r="M15" s="2">
        <f t="shared" si="1"/>
        <v>0.9375</v>
      </c>
      <c r="N15" s="2">
        <v>6</v>
      </c>
      <c r="O15" s="2">
        <v>4</v>
      </c>
      <c r="P15" s="2">
        <f t="shared" si="2"/>
        <v>0.6</v>
      </c>
      <c r="Q15" s="2">
        <v>2771</v>
      </c>
      <c r="R15" s="2">
        <v>2485</v>
      </c>
      <c r="S15" s="2">
        <f t="shared" si="3"/>
        <v>0.52720700152207001</v>
      </c>
      <c r="T15" s="2">
        <v>69.5</v>
      </c>
      <c r="U15" s="2">
        <v>106.3</v>
      </c>
      <c r="V15" s="2">
        <v>0.35799999999999998</v>
      </c>
      <c r="W15" s="2">
        <v>0.377</v>
      </c>
      <c r="X15" s="2">
        <v>0.54500000000000004</v>
      </c>
      <c r="Y15" s="2">
        <v>53.2</v>
      </c>
      <c r="Z15" s="2">
        <v>49.5</v>
      </c>
      <c r="AA15" s="2">
        <v>10.199999999999999</v>
      </c>
      <c r="AB15" s="2">
        <v>12.7</v>
      </c>
      <c r="AC15" s="2">
        <v>0.505</v>
      </c>
      <c r="AD15" s="2">
        <v>16.2</v>
      </c>
      <c r="AE15" s="2">
        <v>32.299999999999997</v>
      </c>
      <c r="AF15" s="2">
        <v>0.26700000000000002</v>
      </c>
    </row>
    <row r="16" spans="1:32" x14ac:dyDescent="0.3">
      <c r="A16" s="2" t="s">
        <v>36</v>
      </c>
      <c r="B16" s="2">
        <v>36</v>
      </c>
      <c r="C16" s="2">
        <v>20</v>
      </c>
      <c r="D16" s="2">
        <v>16</v>
      </c>
      <c r="E16" s="2">
        <v>0.55600000000000005</v>
      </c>
      <c r="F16" s="2">
        <v>15.42</v>
      </c>
      <c r="G16" s="2">
        <v>11.22</v>
      </c>
      <c r="H16" s="2">
        <v>9</v>
      </c>
      <c r="I16" s="2">
        <v>9</v>
      </c>
      <c r="J16" s="2">
        <f t="shared" si="0"/>
        <v>0.5</v>
      </c>
      <c r="K16" s="2">
        <v>9</v>
      </c>
      <c r="L16" s="2">
        <v>6</v>
      </c>
      <c r="M16" s="2">
        <f t="shared" si="1"/>
        <v>0.6</v>
      </c>
      <c r="N16" s="2">
        <v>5</v>
      </c>
      <c r="O16" s="2">
        <v>6</v>
      </c>
      <c r="P16" s="2">
        <f t="shared" si="2"/>
        <v>0.45454545454545453</v>
      </c>
      <c r="Q16" s="2">
        <v>2440</v>
      </c>
      <c r="R16" s="2">
        <v>2289</v>
      </c>
      <c r="S16" s="2">
        <f t="shared" si="3"/>
        <v>0.51596532036371323</v>
      </c>
      <c r="T16" s="2">
        <v>64.7</v>
      </c>
      <c r="U16" s="2">
        <v>103.7</v>
      </c>
      <c r="V16" s="2">
        <v>0.29899999999999999</v>
      </c>
      <c r="W16" s="2">
        <v>0.433</v>
      </c>
      <c r="X16" s="2">
        <v>0.53</v>
      </c>
      <c r="Y16" s="2">
        <v>49.2</v>
      </c>
      <c r="Z16" s="2">
        <v>51</v>
      </c>
      <c r="AA16" s="2">
        <v>10.9</v>
      </c>
      <c r="AB16" s="2">
        <v>11</v>
      </c>
      <c r="AC16" s="2">
        <v>0.498</v>
      </c>
      <c r="AD16" s="2">
        <v>15.4</v>
      </c>
      <c r="AE16" s="2">
        <v>30.6</v>
      </c>
      <c r="AF16" s="2">
        <v>0.216</v>
      </c>
    </row>
    <row r="17" spans="1:32" x14ac:dyDescent="0.3">
      <c r="A17" s="2" t="s">
        <v>37</v>
      </c>
      <c r="B17" s="2">
        <v>35</v>
      </c>
      <c r="C17" s="2">
        <v>23</v>
      </c>
      <c r="D17" s="2">
        <v>12</v>
      </c>
      <c r="E17" s="2">
        <v>0.65700000000000003</v>
      </c>
      <c r="F17" s="2">
        <v>-2.61</v>
      </c>
      <c r="G17" s="2">
        <v>-4.43</v>
      </c>
      <c r="H17" s="2">
        <v>11</v>
      </c>
      <c r="I17" s="2">
        <v>6</v>
      </c>
      <c r="J17" s="2">
        <f t="shared" si="0"/>
        <v>0.6470588235294118</v>
      </c>
      <c r="K17" s="2">
        <v>13</v>
      </c>
      <c r="L17" s="2">
        <v>0</v>
      </c>
      <c r="M17" s="2">
        <f t="shared" si="1"/>
        <v>1</v>
      </c>
      <c r="N17" s="2">
        <v>8</v>
      </c>
      <c r="O17" s="2">
        <v>9</v>
      </c>
      <c r="P17" s="2">
        <f t="shared" si="2"/>
        <v>0.47058823529411764</v>
      </c>
      <c r="Q17" s="2">
        <v>2718</v>
      </c>
      <c r="R17" s="2">
        <v>2468</v>
      </c>
      <c r="S17" s="2">
        <f t="shared" si="3"/>
        <v>0.52410335518704199</v>
      </c>
      <c r="T17" s="2">
        <v>68.5</v>
      </c>
      <c r="U17" s="2">
        <v>110.9</v>
      </c>
      <c r="V17" s="2">
        <v>0.378</v>
      </c>
      <c r="W17" s="2">
        <v>0.36599999999999999</v>
      </c>
      <c r="X17" s="2">
        <v>0.58699999999999997</v>
      </c>
      <c r="Y17" s="2">
        <v>49.2</v>
      </c>
      <c r="Z17" s="2">
        <v>52.6</v>
      </c>
      <c r="AA17" s="2">
        <v>9.6999999999999993</v>
      </c>
      <c r="AB17" s="2">
        <v>8.8000000000000007</v>
      </c>
      <c r="AC17" s="2">
        <v>0.55800000000000005</v>
      </c>
      <c r="AD17" s="2">
        <v>15</v>
      </c>
      <c r="AE17" s="2">
        <v>24.5</v>
      </c>
      <c r="AF17" s="2">
        <v>0.26900000000000002</v>
      </c>
    </row>
    <row r="18" spans="1:32" x14ac:dyDescent="0.3">
      <c r="A18" s="2" t="s">
        <v>38</v>
      </c>
      <c r="B18" s="2">
        <v>34</v>
      </c>
      <c r="C18" s="2">
        <v>24</v>
      </c>
      <c r="D18" s="2">
        <v>10</v>
      </c>
      <c r="E18" s="2">
        <v>0.70599999999999996</v>
      </c>
      <c r="F18" s="2">
        <v>2.44</v>
      </c>
      <c r="G18" s="2">
        <v>0.65</v>
      </c>
      <c r="H18" s="2">
        <v>13</v>
      </c>
      <c r="I18" s="2">
        <v>5</v>
      </c>
      <c r="J18" s="2">
        <f t="shared" si="0"/>
        <v>0.72222222222222221</v>
      </c>
      <c r="K18" s="2">
        <v>13</v>
      </c>
      <c r="L18" s="2">
        <v>1</v>
      </c>
      <c r="M18" s="2">
        <f t="shared" si="1"/>
        <v>0.9285714285714286</v>
      </c>
      <c r="N18" s="2">
        <v>7</v>
      </c>
      <c r="O18" s="2">
        <v>7</v>
      </c>
      <c r="P18" s="2">
        <f t="shared" si="2"/>
        <v>0.5</v>
      </c>
      <c r="Q18" s="2">
        <v>2598</v>
      </c>
      <c r="R18" s="2">
        <v>2491</v>
      </c>
      <c r="S18" s="2">
        <f t="shared" si="3"/>
        <v>0.51051287089801534</v>
      </c>
      <c r="T18" s="2">
        <v>71.3</v>
      </c>
      <c r="U18" s="2">
        <v>107.1</v>
      </c>
      <c r="V18" s="2">
        <v>0.35299999999999998</v>
      </c>
      <c r="W18" s="2">
        <v>0.436</v>
      </c>
      <c r="X18" s="2">
        <v>0.56499999999999995</v>
      </c>
      <c r="Y18" s="2">
        <v>45.4</v>
      </c>
      <c r="Z18" s="2">
        <v>46</v>
      </c>
      <c r="AA18" s="2">
        <v>11.1</v>
      </c>
      <c r="AB18" s="2">
        <v>14</v>
      </c>
      <c r="AC18" s="2">
        <v>0.54300000000000004</v>
      </c>
      <c r="AD18" s="2">
        <v>14.5</v>
      </c>
      <c r="AE18" s="2">
        <v>23.1</v>
      </c>
      <c r="AF18" s="2">
        <v>0.23499999999999999</v>
      </c>
    </row>
    <row r="19" spans="1:32" x14ac:dyDescent="0.3">
      <c r="A19" s="2" t="s">
        <v>39</v>
      </c>
      <c r="B19" s="2">
        <v>37</v>
      </c>
      <c r="C19" s="2">
        <v>33</v>
      </c>
      <c r="D19" s="2">
        <v>4</v>
      </c>
      <c r="E19" s="2">
        <v>0.89200000000000002</v>
      </c>
      <c r="F19" s="2">
        <v>27.79</v>
      </c>
      <c r="G19" s="2">
        <v>5.01</v>
      </c>
      <c r="H19" s="2">
        <v>16</v>
      </c>
      <c r="I19" s="2">
        <v>0</v>
      </c>
      <c r="J19" s="2">
        <f t="shared" si="0"/>
        <v>1</v>
      </c>
      <c r="K19" s="2">
        <v>17</v>
      </c>
      <c r="L19" s="2">
        <v>0</v>
      </c>
      <c r="M19" s="2">
        <f t="shared" si="1"/>
        <v>1</v>
      </c>
      <c r="N19" s="2">
        <v>9</v>
      </c>
      <c r="O19" s="2">
        <v>1</v>
      </c>
      <c r="P19" s="2">
        <f t="shared" si="2"/>
        <v>0.9</v>
      </c>
      <c r="Q19" s="2">
        <v>3243</v>
      </c>
      <c r="R19" s="2">
        <v>2400</v>
      </c>
      <c r="S19" s="2">
        <f t="shared" si="3"/>
        <v>0.57469431153641681</v>
      </c>
      <c r="T19" s="2">
        <v>71.7</v>
      </c>
      <c r="U19" s="2">
        <v>122.2</v>
      </c>
      <c r="V19" s="2">
        <v>0.35299999999999998</v>
      </c>
      <c r="W19" s="2">
        <v>0.35299999999999998</v>
      </c>
      <c r="X19" s="2">
        <v>0.62</v>
      </c>
      <c r="Y19" s="2">
        <v>54.7</v>
      </c>
      <c r="Z19" s="2">
        <v>56.8</v>
      </c>
      <c r="AA19" s="2">
        <v>10.5</v>
      </c>
      <c r="AB19" s="2">
        <v>13.9</v>
      </c>
      <c r="AC19" s="2">
        <v>0.59</v>
      </c>
      <c r="AD19" s="2">
        <v>13.1</v>
      </c>
      <c r="AE19" s="2">
        <v>30.4</v>
      </c>
      <c r="AF19" s="2">
        <v>0.26900000000000002</v>
      </c>
    </row>
    <row r="20" spans="1:32" x14ac:dyDescent="0.3">
      <c r="A20" s="2" t="s">
        <v>40</v>
      </c>
      <c r="B20" s="2">
        <v>37</v>
      </c>
      <c r="C20" s="2">
        <v>33</v>
      </c>
      <c r="D20" s="2">
        <v>4</v>
      </c>
      <c r="E20" s="2">
        <v>0.89200000000000002</v>
      </c>
      <c r="F20" s="2">
        <v>18.91</v>
      </c>
      <c r="G20" s="2">
        <v>4.6100000000000003</v>
      </c>
      <c r="H20" s="2">
        <v>16</v>
      </c>
      <c r="I20" s="2">
        <v>2</v>
      </c>
      <c r="J20" s="2">
        <f t="shared" si="0"/>
        <v>0.88888888888888884</v>
      </c>
      <c r="K20" s="2">
        <v>19</v>
      </c>
      <c r="L20" s="2">
        <v>1</v>
      </c>
      <c r="M20" s="2">
        <f t="shared" si="1"/>
        <v>0.95</v>
      </c>
      <c r="N20" s="2">
        <v>10</v>
      </c>
      <c r="O20" s="2">
        <v>1</v>
      </c>
      <c r="P20" s="2">
        <f t="shared" si="2"/>
        <v>0.90909090909090906</v>
      </c>
      <c r="Q20" s="2">
        <v>2787</v>
      </c>
      <c r="R20" s="2">
        <v>2258</v>
      </c>
      <c r="S20" s="2">
        <f t="shared" si="3"/>
        <v>0.55242814667988105</v>
      </c>
      <c r="T20" s="2">
        <v>67.3</v>
      </c>
      <c r="U20" s="2">
        <v>111.8</v>
      </c>
      <c r="V20" s="2">
        <v>0.316</v>
      </c>
      <c r="W20" s="2">
        <v>0.42599999999999999</v>
      </c>
      <c r="X20" s="2">
        <v>0.55000000000000004</v>
      </c>
      <c r="Y20" s="2">
        <v>54.9</v>
      </c>
      <c r="Z20" s="2">
        <v>55.8</v>
      </c>
      <c r="AA20" s="2">
        <v>9.6</v>
      </c>
      <c r="AB20" s="2">
        <v>13.4</v>
      </c>
      <c r="AC20" s="2">
        <v>0.52100000000000002</v>
      </c>
      <c r="AD20" s="2">
        <v>13.9</v>
      </c>
      <c r="AE20" s="2">
        <v>33.799999999999997</v>
      </c>
      <c r="AF20" s="2">
        <v>0.222</v>
      </c>
    </row>
    <row r="21" spans="1:32" x14ac:dyDescent="0.3">
      <c r="A21" s="2" t="s">
        <v>41</v>
      </c>
      <c r="B21" s="2">
        <v>33</v>
      </c>
      <c r="C21" s="2">
        <v>17</v>
      </c>
      <c r="D21" s="2">
        <v>16</v>
      </c>
      <c r="E21" s="2">
        <v>0.51500000000000001</v>
      </c>
      <c r="F21" s="2">
        <v>-4.78</v>
      </c>
      <c r="G21" s="2">
        <v>-5.5</v>
      </c>
      <c r="H21" s="2">
        <v>12</v>
      </c>
      <c r="I21" s="2">
        <v>6</v>
      </c>
      <c r="J21" s="2">
        <f t="shared" si="0"/>
        <v>0.66666666666666663</v>
      </c>
      <c r="K21" s="2">
        <v>8</v>
      </c>
      <c r="L21" s="2">
        <v>3</v>
      </c>
      <c r="M21" s="2">
        <f t="shared" si="1"/>
        <v>0.72727272727272729</v>
      </c>
      <c r="N21" s="2">
        <v>5</v>
      </c>
      <c r="O21" s="2">
        <v>9</v>
      </c>
      <c r="P21" s="2">
        <f t="shared" si="2"/>
        <v>0.35714285714285715</v>
      </c>
      <c r="Q21" s="2">
        <v>2532</v>
      </c>
      <c r="R21" s="2">
        <v>2508</v>
      </c>
      <c r="S21" s="2">
        <f t="shared" si="3"/>
        <v>0.50238095238095237</v>
      </c>
      <c r="T21" s="2">
        <v>71.400000000000006</v>
      </c>
      <c r="U21" s="2">
        <v>107.4</v>
      </c>
      <c r="V21" s="2">
        <v>0.36799999999999999</v>
      </c>
      <c r="W21" s="2">
        <v>0.44500000000000001</v>
      </c>
      <c r="X21" s="2">
        <v>0.56799999999999995</v>
      </c>
      <c r="Y21" s="2">
        <v>48</v>
      </c>
      <c r="Z21" s="2">
        <v>50.4</v>
      </c>
      <c r="AA21" s="2">
        <v>9.5</v>
      </c>
      <c r="AB21" s="2">
        <v>7.7</v>
      </c>
      <c r="AC21" s="2">
        <v>0.53</v>
      </c>
      <c r="AD21" s="2">
        <v>15.4</v>
      </c>
      <c r="AE21" s="2">
        <v>24.3</v>
      </c>
      <c r="AF21" s="2">
        <v>0.27500000000000002</v>
      </c>
    </row>
    <row r="22" spans="1:32" x14ac:dyDescent="0.3">
      <c r="A22" s="2" t="s">
        <v>42</v>
      </c>
      <c r="B22" s="2">
        <v>35</v>
      </c>
      <c r="C22" s="2">
        <v>23</v>
      </c>
      <c r="D22" s="2">
        <v>12</v>
      </c>
      <c r="E22" s="2">
        <v>0.65700000000000003</v>
      </c>
      <c r="F22" s="2">
        <v>18.07</v>
      </c>
      <c r="G22" s="2">
        <v>9.3000000000000007</v>
      </c>
      <c r="H22" s="2">
        <v>9</v>
      </c>
      <c r="I22" s="2">
        <v>9</v>
      </c>
      <c r="J22" s="2">
        <f t="shared" si="0"/>
        <v>0.5</v>
      </c>
      <c r="K22" s="2">
        <v>12</v>
      </c>
      <c r="L22" s="2">
        <v>4</v>
      </c>
      <c r="M22" s="2">
        <f t="shared" si="1"/>
        <v>0.75</v>
      </c>
      <c r="N22" s="2">
        <v>5</v>
      </c>
      <c r="O22" s="2">
        <v>6</v>
      </c>
      <c r="P22" s="2">
        <f t="shared" si="2"/>
        <v>0.45454545454545453</v>
      </c>
      <c r="Q22" s="2">
        <v>2692</v>
      </c>
      <c r="R22" s="2">
        <v>2385</v>
      </c>
      <c r="S22" s="2">
        <f t="shared" si="3"/>
        <v>0.53023439038802445</v>
      </c>
      <c r="T22" s="2">
        <v>68.2</v>
      </c>
      <c r="U22" s="2">
        <v>112.7</v>
      </c>
      <c r="V22" s="2">
        <v>0.3</v>
      </c>
      <c r="W22" s="2">
        <v>0.39600000000000002</v>
      </c>
      <c r="X22" s="2">
        <v>0.57499999999999996</v>
      </c>
      <c r="Y22" s="2">
        <v>50.3</v>
      </c>
      <c r="Z22" s="2">
        <v>54.1</v>
      </c>
      <c r="AA22" s="2">
        <v>10.3</v>
      </c>
      <c r="AB22" s="2">
        <v>12.5</v>
      </c>
      <c r="AC22" s="2">
        <v>0.54800000000000004</v>
      </c>
      <c r="AD22" s="2">
        <v>13.9</v>
      </c>
      <c r="AE22" s="2">
        <v>28.4</v>
      </c>
      <c r="AF22" s="2">
        <v>0.22</v>
      </c>
    </row>
    <row r="23" spans="1:32" x14ac:dyDescent="0.3">
      <c r="A23" s="2" t="s">
        <v>43</v>
      </c>
      <c r="B23" s="2">
        <v>35</v>
      </c>
      <c r="C23" s="2">
        <v>23</v>
      </c>
      <c r="D23" s="2">
        <v>12</v>
      </c>
      <c r="E23" s="2">
        <v>0.65700000000000003</v>
      </c>
      <c r="F23" s="2">
        <v>14.27</v>
      </c>
      <c r="G23" s="2">
        <v>9.84</v>
      </c>
      <c r="H23" s="2">
        <v>10</v>
      </c>
      <c r="I23" s="2">
        <v>10</v>
      </c>
      <c r="J23" s="2">
        <f t="shared" si="0"/>
        <v>0.5</v>
      </c>
      <c r="K23" s="2">
        <v>14</v>
      </c>
      <c r="L23" s="2">
        <v>4</v>
      </c>
      <c r="M23" s="2">
        <f t="shared" si="1"/>
        <v>0.77777777777777779</v>
      </c>
      <c r="N23" s="2">
        <v>4</v>
      </c>
      <c r="O23" s="2">
        <v>6</v>
      </c>
      <c r="P23" s="2">
        <f t="shared" si="2"/>
        <v>0.4</v>
      </c>
      <c r="Q23" s="2">
        <v>2740</v>
      </c>
      <c r="R23" s="2">
        <v>2585</v>
      </c>
      <c r="S23" s="2">
        <f t="shared" si="3"/>
        <v>0.51455399061032869</v>
      </c>
      <c r="T23" s="2">
        <v>70.2</v>
      </c>
      <c r="U23" s="2">
        <v>110.4</v>
      </c>
      <c r="V23" s="2">
        <v>0.42299999999999999</v>
      </c>
      <c r="W23" s="2">
        <v>0.39</v>
      </c>
      <c r="X23" s="2">
        <v>0.56899999999999995</v>
      </c>
      <c r="Y23" s="2">
        <v>50.6</v>
      </c>
      <c r="Z23" s="2">
        <v>59.3</v>
      </c>
      <c r="AA23" s="2">
        <v>8.5</v>
      </c>
      <c r="AB23" s="2">
        <v>9</v>
      </c>
      <c r="AC23" s="2">
        <v>0.52700000000000002</v>
      </c>
      <c r="AD23" s="2">
        <v>15.1</v>
      </c>
      <c r="AE23" s="2">
        <v>29.5</v>
      </c>
      <c r="AF23" s="2">
        <v>0.313</v>
      </c>
    </row>
    <row r="24" spans="1:32" x14ac:dyDescent="0.3">
      <c r="A24" s="2" t="s">
        <v>44</v>
      </c>
      <c r="B24" s="2">
        <v>34</v>
      </c>
      <c r="C24" s="2">
        <v>25</v>
      </c>
      <c r="D24" s="2">
        <v>9</v>
      </c>
      <c r="E24" s="2">
        <v>0.73499999999999999</v>
      </c>
      <c r="F24" s="2">
        <v>15.39</v>
      </c>
      <c r="G24" s="2">
        <v>9.18</v>
      </c>
      <c r="H24" s="2">
        <v>14</v>
      </c>
      <c r="I24" s="2">
        <v>4</v>
      </c>
      <c r="J24" s="2">
        <f t="shared" si="0"/>
        <v>0.77777777777777779</v>
      </c>
      <c r="K24" s="2">
        <v>13</v>
      </c>
      <c r="L24" s="2">
        <v>2</v>
      </c>
      <c r="M24" s="2">
        <f t="shared" si="1"/>
        <v>0.8666666666666667</v>
      </c>
      <c r="N24" s="2">
        <v>7</v>
      </c>
      <c r="O24" s="2">
        <v>5</v>
      </c>
      <c r="P24" s="2">
        <f t="shared" si="2"/>
        <v>0.58333333333333337</v>
      </c>
      <c r="Q24" s="2">
        <v>2236</v>
      </c>
      <c r="R24" s="2">
        <v>2025</v>
      </c>
      <c r="S24" s="2">
        <f t="shared" si="3"/>
        <v>0.52475944613940395</v>
      </c>
      <c r="T24" s="2">
        <v>64.900000000000006</v>
      </c>
      <c r="U24" s="2">
        <v>101.3</v>
      </c>
      <c r="V24" s="2">
        <v>0.30599999999999999</v>
      </c>
      <c r="W24" s="2">
        <v>0.38400000000000001</v>
      </c>
      <c r="X24" s="2">
        <v>0.52</v>
      </c>
      <c r="Y24" s="2">
        <v>50.9</v>
      </c>
      <c r="Z24" s="2">
        <v>57.6</v>
      </c>
      <c r="AA24" s="2">
        <v>11.6</v>
      </c>
      <c r="AB24" s="2">
        <v>7.7</v>
      </c>
      <c r="AC24" s="2">
        <v>0.49299999999999999</v>
      </c>
      <c r="AD24" s="2">
        <v>15.2</v>
      </c>
      <c r="AE24" s="2">
        <v>28.4</v>
      </c>
      <c r="AF24" s="2">
        <v>0.20399999999999999</v>
      </c>
    </row>
    <row r="25" spans="1:32" x14ac:dyDescent="0.3">
      <c r="A25" s="2" t="s">
        <v>45</v>
      </c>
      <c r="B25" s="2">
        <v>36</v>
      </c>
      <c r="C25" s="2">
        <v>26</v>
      </c>
      <c r="D25" s="2">
        <v>10</v>
      </c>
      <c r="E25" s="2">
        <v>0.72199999999999998</v>
      </c>
      <c r="F25" s="2">
        <v>18.350000000000001</v>
      </c>
      <c r="G25" s="2">
        <v>12.79</v>
      </c>
      <c r="H25" s="2">
        <v>12</v>
      </c>
      <c r="I25" s="2">
        <v>6</v>
      </c>
      <c r="J25" s="2">
        <f t="shared" si="0"/>
        <v>0.66666666666666663</v>
      </c>
      <c r="K25" s="2">
        <v>16</v>
      </c>
      <c r="L25" s="2">
        <v>0</v>
      </c>
      <c r="M25" s="2">
        <f t="shared" si="1"/>
        <v>1</v>
      </c>
      <c r="N25" s="2">
        <v>3</v>
      </c>
      <c r="O25" s="2">
        <v>8</v>
      </c>
      <c r="P25" s="2">
        <f t="shared" si="2"/>
        <v>0.27272727272727271</v>
      </c>
      <c r="Q25" s="2">
        <v>2725</v>
      </c>
      <c r="R25" s="2">
        <v>2525</v>
      </c>
      <c r="S25" s="2">
        <f t="shared" si="3"/>
        <v>0.51904761904761909</v>
      </c>
      <c r="T25" s="2">
        <v>70.3</v>
      </c>
      <c r="U25" s="2">
        <v>106.5</v>
      </c>
      <c r="V25" s="2">
        <v>0.32500000000000001</v>
      </c>
      <c r="W25" s="2">
        <v>0.34899999999999998</v>
      </c>
      <c r="X25" s="2">
        <v>0.55500000000000005</v>
      </c>
      <c r="Y25" s="2">
        <v>52.1</v>
      </c>
      <c r="Z25" s="2">
        <v>48.3</v>
      </c>
      <c r="AA25" s="2">
        <v>9.5</v>
      </c>
      <c r="AB25" s="2">
        <v>10.9</v>
      </c>
      <c r="AC25" s="2">
        <v>0.52600000000000002</v>
      </c>
      <c r="AD25" s="2">
        <v>16.100000000000001</v>
      </c>
      <c r="AE25" s="2">
        <v>29.9</v>
      </c>
      <c r="AF25" s="2">
        <v>0.22900000000000001</v>
      </c>
    </row>
    <row r="26" spans="1:32" x14ac:dyDescent="0.3">
      <c r="A26" s="2" t="s">
        <v>46</v>
      </c>
      <c r="B26" s="2">
        <v>37</v>
      </c>
      <c r="C26" s="2">
        <v>30</v>
      </c>
      <c r="D26" s="2">
        <v>7</v>
      </c>
      <c r="E26" s="2">
        <v>0.81100000000000005</v>
      </c>
      <c r="F26" s="2">
        <v>21.43</v>
      </c>
      <c r="G26" s="2">
        <v>10.29</v>
      </c>
      <c r="H26" s="2">
        <v>15</v>
      </c>
      <c r="I26" s="2">
        <v>3</v>
      </c>
      <c r="J26" s="2">
        <f t="shared" si="0"/>
        <v>0.83333333333333337</v>
      </c>
      <c r="K26" s="2">
        <v>17</v>
      </c>
      <c r="L26" s="2">
        <v>1</v>
      </c>
      <c r="M26" s="2">
        <f t="shared" si="1"/>
        <v>0.94444444444444442</v>
      </c>
      <c r="N26" s="2">
        <v>8</v>
      </c>
      <c r="O26" s="2">
        <v>2</v>
      </c>
      <c r="P26" s="2">
        <f t="shared" si="2"/>
        <v>0.8</v>
      </c>
      <c r="Q26" s="2">
        <v>2806</v>
      </c>
      <c r="R26" s="2">
        <v>2394</v>
      </c>
      <c r="S26" s="2">
        <f t="shared" si="3"/>
        <v>0.53961538461538461</v>
      </c>
      <c r="T26" s="2">
        <v>67.3</v>
      </c>
      <c r="U26" s="2">
        <v>111.9</v>
      </c>
      <c r="V26" s="2">
        <v>0.41899999999999998</v>
      </c>
      <c r="W26" s="2">
        <v>0.29599999999999999</v>
      </c>
      <c r="X26" s="2">
        <v>0.57099999999999995</v>
      </c>
      <c r="Y26" s="2">
        <v>56.9</v>
      </c>
      <c r="Z26" s="2">
        <v>51.2</v>
      </c>
      <c r="AA26" s="2">
        <v>8.8000000000000007</v>
      </c>
      <c r="AB26" s="2">
        <v>13.4</v>
      </c>
      <c r="AC26" s="2">
        <v>0.53</v>
      </c>
      <c r="AD26" s="2">
        <v>15.9</v>
      </c>
      <c r="AE26" s="2">
        <v>36.4</v>
      </c>
      <c r="AF26" s="2">
        <v>0.31</v>
      </c>
    </row>
    <row r="27" spans="1:32" x14ac:dyDescent="0.3">
      <c r="A27" s="2" t="s">
        <v>47</v>
      </c>
      <c r="B27" s="2">
        <v>36</v>
      </c>
      <c r="C27" s="2">
        <v>29</v>
      </c>
      <c r="D27" s="2">
        <v>7</v>
      </c>
      <c r="E27" s="2">
        <v>0.80600000000000005</v>
      </c>
      <c r="F27" s="2">
        <v>5.27</v>
      </c>
      <c r="G27" s="2">
        <v>-3.88</v>
      </c>
      <c r="H27" s="2">
        <v>14</v>
      </c>
      <c r="I27" s="2">
        <v>2</v>
      </c>
      <c r="J27" s="2">
        <f t="shared" si="0"/>
        <v>0.875</v>
      </c>
      <c r="K27" s="2">
        <v>16</v>
      </c>
      <c r="L27" s="2">
        <v>1</v>
      </c>
      <c r="M27" s="2">
        <f t="shared" si="1"/>
        <v>0.94117647058823528</v>
      </c>
      <c r="N27" s="2">
        <v>11</v>
      </c>
      <c r="O27" s="2">
        <v>3</v>
      </c>
      <c r="P27" s="2">
        <f t="shared" si="2"/>
        <v>0.7857142857142857</v>
      </c>
      <c r="Q27" s="2">
        <v>2654</v>
      </c>
      <c r="R27" s="2">
        <v>2209</v>
      </c>
      <c r="S27" s="2">
        <f t="shared" si="3"/>
        <v>0.54575365001028175</v>
      </c>
      <c r="T27" s="2">
        <v>65.400000000000006</v>
      </c>
      <c r="U27" s="2">
        <v>112.8</v>
      </c>
      <c r="V27" s="2">
        <v>0.26500000000000001</v>
      </c>
      <c r="W27" s="2">
        <v>0.442</v>
      </c>
      <c r="X27" s="2">
        <v>0.59599999999999997</v>
      </c>
      <c r="Y27" s="2">
        <v>51.5</v>
      </c>
      <c r="Z27" s="2">
        <v>55.2</v>
      </c>
      <c r="AA27" s="2">
        <v>9.5</v>
      </c>
      <c r="AB27" s="2">
        <v>8.1</v>
      </c>
      <c r="AC27" s="2">
        <v>0.56899999999999995</v>
      </c>
      <c r="AD27" s="2">
        <v>15.1</v>
      </c>
      <c r="AE27" s="2">
        <v>25.1</v>
      </c>
      <c r="AF27" s="2">
        <v>0.20499999999999999</v>
      </c>
    </row>
    <row r="28" spans="1:32" x14ac:dyDescent="0.3">
      <c r="A28" s="2" t="s">
        <v>48</v>
      </c>
      <c r="B28" s="2">
        <v>35</v>
      </c>
      <c r="C28" s="2">
        <v>28</v>
      </c>
      <c r="D28" s="2">
        <v>7</v>
      </c>
      <c r="E28" s="2">
        <v>0.8</v>
      </c>
      <c r="F28" s="2">
        <v>16.5</v>
      </c>
      <c r="G28" s="2">
        <v>9.16</v>
      </c>
      <c r="H28" s="2">
        <v>16</v>
      </c>
      <c r="I28" s="2">
        <v>2</v>
      </c>
      <c r="J28" s="2">
        <f t="shared" si="0"/>
        <v>0.88888888888888884</v>
      </c>
      <c r="K28" s="2">
        <v>15</v>
      </c>
      <c r="L28" s="2">
        <v>2</v>
      </c>
      <c r="M28" s="2">
        <f t="shared" si="1"/>
        <v>0.88235294117647056</v>
      </c>
      <c r="N28" s="2">
        <v>9</v>
      </c>
      <c r="O28" s="2">
        <v>1</v>
      </c>
      <c r="P28" s="2">
        <f t="shared" si="2"/>
        <v>0.9</v>
      </c>
      <c r="Q28" s="2">
        <v>2815</v>
      </c>
      <c r="R28" s="2">
        <v>2558</v>
      </c>
      <c r="S28" s="2">
        <f t="shared" si="3"/>
        <v>0.52391587567466968</v>
      </c>
      <c r="T28" s="2">
        <v>70.599999999999994</v>
      </c>
      <c r="U28" s="2">
        <v>111.1</v>
      </c>
      <c r="V28" s="2">
        <v>0.371</v>
      </c>
      <c r="W28" s="2">
        <v>0.34200000000000003</v>
      </c>
      <c r="X28" s="2">
        <v>0.55300000000000005</v>
      </c>
      <c r="Y28" s="2">
        <v>53</v>
      </c>
      <c r="Z28" s="2">
        <v>45.7</v>
      </c>
      <c r="AA28" s="2">
        <v>12.2</v>
      </c>
      <c r="AB28" s="2">
        <v>11.8</v>
      </c>
      <c r="AC28" s="2">
        <v>0.51200000000000001</v>
      </c>
      <c r="AD28" s="2">
        <v>15.1</v>
      </c>
      <c r="AE28" s="2">
        <v>36.200000000000003</v>
      </c>
      <c r="AF28" s="2">
        <v>0.27900000000000003</v>
      </c>
    </row>
    <row r="29" spans="1:32" x14ac:dyDescent="0.3">
      <c r="A29" s="2" t="s">
        <v>49</v>
      </c>
      <c r="B29" s="2">
        <v>34</v>
      </c>
      <c r="C29" s="2">
        <v>20</v>
      </c>
      <c r="D29" s="2">
        <v>14</v>
      </c>
      <c r="E29" s="2">
        <v>0.58799999999999997</v>
      </c>
      <c r="F29" s="2">
        <v>17.28</v>
      </c>
      <c r="G29" s="2">
        <v>11.04</v>
      </c>
      <c r="H29" s="2">
        <v>10</v>
      </c>
      <c r="I29" s="2">
        <v>8</v>
      </c>
      <c r="J29" s="2">
        <f t="shared" si="0"/>
        <v>0.55555555555555558</v>
      </c>
      <c r="K29" s="2">
        <v>14</v>
      </c>
      <c r="L29" s="2">
        <v>4</v>
      </c>
      <c r="M29" s="2">
        <f t="shared" si="1"/>
        <v>0.77777777777777779</v>
      </c>
      <c r="N29" s="2">
        <v>5</v>
      </c>
      <c r="O29" s="2">
        <v>6</v>
      </c>
      <c r="P29" s="2">
        <f t="shared" si="2"/>
        <v>0.45454545454545453</v>
      </c>
      <c r="Q29" s="2">
        <v>2536</v>
      </c>
      <c r="R29" s="2">
        <v>2324</v>
      </c>
      <c r="S29" s="2">
        <f t="shared" si="3"/>
        <v>0.52181069958847737</v>
      </c>
      <c r="T29" s="2">
        <v>68.400000000000006</v>
      </c>
      <c r="U29" s="2">
        <v>107.4</v>
      </c>
      <c r="V29" s="2">
        <v>0.34899999999999998</v>
      </c>
      <c r="W29" s="2">
        <v>0.437</v>
      </c>
      <c r="X29" s="2">
        <v>0.55300000000000005</v>
      </c>
      <c r="Y29" s="2">
        <v>52.4</v>
      </c>
      <c r="Z29" s="2">
        <v>53.6</v>
      </c>
      <c r="AA29" s="2">
        <v>6.3</v>
      </c>
      <c r="AB29" s="2">
        <v>7.9</v>
      </c>
      <c r="AC29" s="2">
        <v>0.50900000000000001</v>
      </c>
      <c r="AD29" s="2">
        <v>15.2</v>
      </c>
      <c r="AE29" s="2">
        <v>29</v>
      </c>
      <c r="AF29" s="2">
        <v>0.27100000000000002</v>
      </c>
    </row>
    <row r="30" spans="1:32" x14ac:dyDescent="0.3">
      <c r="A30" s="2" t="s">
        <v>50</v>
      </c>
      <c r="B30" s="2">
        <v>34</v>
      </c>
      <c r="C30" s="2">
        <v>24</v>
      </c>
      <c r="D30" s="2">
        <v>10</v>
      </c>
      <c r="E30" s="2">
        <v>0.70599999999999996</v>
      </c>
      <c r="F30" s="2">
        <v>14.78</v>
      </c>
      <c r="G30" s="2">
        <v>6.96</v>
      </c>
      <c r="H30" s="2">
        <v>12</v>
      </c>
      <c r="I30" s="2">
        <v>6</v>
      </c>
      <c r="J30" s="2">
        <f t="shared" si="0"/>
        <v>0.66666666666666663</v>
      </c>
      <c r="K30" s="2">
        <v>16</v>
      </c>
      <c r="L30" s="2">
        <v>3</v>
      </c>
      <c r="M30" s="2">
        <f t="shared" si="1"/>
        <v>0.84210526315789469</v>
      </c>
      <c r="N30" s="2">
        <v>6</v>
      </c>
      <c r="O30" s="2">
        <v>4</v>
      </c>
      <c r="P30" s="2">
        <f t="shared" si="2"/>
        <v>0.6</v>
      </c>
      <c r="Q30" s="2">
        <v>2629</v>
      </c>
      <c r="R30" s="2">
        <v>2363</v>
      </c>
      <c r="S30" s="2">
        <f t="shared" si="3"/>
        <v>0.52664262820512819</v>
      </c>
      <c r="T30" s="2">
        <v>70.7</v>
      </c>
      <c r="U30" s="2">
        <v>108.2</v>
      </c>
      <c r="V30" s="2">
        <v>0.35099999999999998</v>
      </c>
      <c r="W30" s="2">
        <v>0.41699999999999998</v>
      </c>
      <c r="X30" s="2">
        <v>0.57199999999999995</v>
      </c>
      <c r="Y30" s="2">
        <v>53</v>
      </c>
      <c r="Z30" s="2">
        <v>51.1</v>
      </c>
      <c r="AA30" s="2">
        <v>6.9</v>
      </c>
      <c r="AB30" s="2">
        <v>11.2</v>
      </c>
      <c r="AC30" s="2">
        <v>0.53500000000000003</v>
      </c>
      <c r="AD30" s="2">
        <v>16.899999999999999</v>
      </c>
      <c r="AE30" s="2">
        <v>29.1</v>
      </c>
      <c r="AF30" s="2">
        <v>0.26600000000000001</v>
      </c>
    </row>
    <row r="31" spans="1:32" x14ac:dyDescent="0.3">
      <c r="A31" s="2" t="s">
        <v>51</v>
      </c>
      <c r="B31" s="2">
        <v>34</v>
      </c>
      <c r="C31" s="2">
        <v>23</v>
      </c>
      <c r="D31" s="2">
        <v>11</v>
      </c>
      <c r="E31" s="2">
        <v>0.67600000000000005</v>
      </c>
      <c r="F31" s="2">
        <v>16.010000000000002</v>
      </c>
      <c r="G31" s="2">
        <v>10.09</v>
      </c>
      <c r="H31" s="2">
        <v>13</v>
      </c>
      <c r="I31" s="2">
        <v>7</v>
      </c>
      <c r="J31" s="2">
        <f t="shared" si="0"/>
        <v>0.65</v>
      </c>
      <c r="K31" s="2">
        <v>15</v>
      </c>
      <c r="L31" s="2">
        <v>3</v>
      </c>
      <c r="M31" s="2">
        <f t="shared" si="1"/>
        <v>0.83333333333333337</v>
      </c>
      <c r="N31" s="2">
        <v>6</v>
      </c>
      <c r="O31" s="2">
        <v>5</v>
      </c>
      <c r="P31" s="2">
        <f t="shared" si="2"/>
        <v>0.54545454545454541</v>
      </c>
      <c r="Q31" s="2">
        <v>2429</v>
      </c>
      <c r="R31" s="2">
        <v>2228</v>
      </c>
      <c r="S31" s="2">
        <f t="shared" si="3"/>
        <v>0.52158041657719567</v>
      </c>
      <c r="T31" s="2">
        <v>66.599999999999994</v>
      </c>
      <c r="U31" s="2">
        <v>107.3</v>
      </c>
      <c r="V31" s="2">
        <v>0.32800000000000001</v>
      </c>
      <c r="W31" s="2">
        <v>0.37</v>
      </c>
      <c r="X31" s="2">
        <v>0.55000000000000004</v>
      </c>
      <c r="Y31" s="2">
        <v>56</v>
      </c>
      <c r="Z31" s="2">
        <v>52.1</v>
      </c>
      <c r="AA31" s="2">
        <v>6.5</v>
      </c>
      <c r="AB31" s="2">
        <v>13.4</v>
      </c>
      <c r="AC31" s="2">
        <v>0.51400000000000001</v>
      </c>
      <c r="AD31" s="2">
        <v>16.5</v>
      </c>
      <c r="AE31" s="2">
        <v>34</v>
      </c>
      <c r="AF31" s="2">
        <v>0.24399999999999999</v>
      </c>
    </row>
    <row r="32" spans="1:32" x14ac:dyDescent="0.3">
      <c r="A32" s="2" t="s">
        <v>52</v>
      </c>
      <c r="B32" s="2">
        <v>39</v>
      </c>
      <c r="C32" s="2">
        <v>32</v>
      </c>
      <c r="D32" s="2">
        <v>7</v>
      </c>
      <c r="E32" s="2">
        <v>0.82099999999999995</v>
      </c>
      <c r="F32" s="2">
        <v>24.93</v>
      </c>
      <c r="G32" s="2">
        <v>12.34</v>
      </c>
      <c r="H32" s="2">
        <v>16</v>
      </c>
      <c r="I32" s="2">
        <v>4</v>
      </c>
      <c r="J32" s="2">
        <f t="shared" si="0"/>
        <v>0.8</v>
      </c>
      <c r="K32" s="2">
        <v>15</v>
      </c>
      <c r="L32" s="2">
        <v>1</v>
      </c>
      <c r="M32" s="2">
        <f t="shared" si="1"/>
        <v>0.9375</v>
      </c>
      <c r="N32" s="2">
        <v>8</v>
      </c>
      <c r="O32" s="2">
        <v>4</v>
      </c>
      <c r="P32" s="2">
        <f t="shared" si="2"/>
        <v>0.66666666666666663</v>
      </c>
      <c r="Q32" s="2">
        <v>3025</v>
      </c>
      <c r="R32" s="2">
        <v>2534</v>
      </c>
      <c r="S32" s="2">
        <f t="shared" si="3"/>
        <v>0.54416261917611086</v>
      </c>
      <c r="T32" s="2">
        <v>68.099999999999994</v>
      </c>
      <c r="U32" s="2">
        <v>113.1</v>
      </c>
      <c r="V32" s="2">
        <v>0.33600000000000002</v>
      </c>
      <c r="W32" s="2">
        <v>0.378</v>
      </c>
      <c r="X32" s="2">
        <v>0.58499999999999996</v>
      </c>
      <c r="Y32" s="2">
        <v>56.1</v>
      </c>
      <c r="Z32" s="2">
        <v>66.8</v>
      </c>
      <c r="AA32" s="2">
        <v>7.5</v>
      </c>
      <c r="AB32" s="2">
        <v>13.7</v>
      </c>
      <c r="AC32" s="2">
        <v>0.55200000000000005</v>
      </c>
      <c r="AD32" s="2">
        <v>16</v>
      </c>
      <c r="AE32" s="2">
        <v>33.200000000000003</v>
      </c>
      <c r="AF32" s="2">
        <v>0.253</v>
      </c>
    </row>
    <row r="33" spans="1:32" x14ac:dyDescent="0.3">
      <c r="A33" s="2" t="s">
        <v>53</v>
      </c>
      <c r="B33" s="2">
        <v>37</v>
      </c>
      <c r="C33" s="2">
        <v>30</v>
      </c>
      <c r="D33" s="2">
        <v>7</v>
      </c>
      <c r="E33" s="2">
        <v>0.81100000000000005</v>
      </c>
      <c r="F33" s="2">
        <v>21.82</v>
      </c>
      <c r="G33" s="2">
        <v>10.55</v>
      </c>
      <c r="H33" s="2">
        <v>15</v>
      </c>
      <c r="I33" s="2">
        <v>5</v>
      </c>
      <c r="J33" s="2">
        <f t="shared" si="0"/>
        <v>0.75</v>
      </c>
      <c r="K33" s="2">
        <v>17</v>
      </c>
      <c r="L33" s="2">
        <v>1</v>
      </c>
      <c r="M33" s="2">
        <f t="shared" si="1"/>
        <v>0.94444444444444442</v>
      </c>
      <c r="N33" s="2">
        <v>7</v>
      </c>
      <c r="O33" s="2">
        <v>4</v>
      </c>
      <c r="P33" s="2">
        <f t="shared" si="2"/>
        <v>0.63636363636363635</v>
      </c>
      <c r="Q33" s="2">
        <v>2575</v>
      </c>
      <c r="R33" s="2">
        <v>2158</v>
      </c>
      <c r="S33" s="2">
        <f t="shared" si="3"/>
        <v>0.54405239805620109</v>
      </c>
      <c r="T33" s="2">
        <v>65.400000000000006</v>
      </c>
      <c r="U33" s="2">
        <v>106.5</v>
      </c>
      <c r="V33" s="2">
        <v>0.27500000000000002</v>
      </c>
      <c r="W33" s="2">
        <v>0.39900000000000002</v>
      </c>
      <c r="X33" s="2">
        <v>0.54200000000000004</v>
      </c>
      <c r="Y33" s="2">
        <v>50.7</v>
      </c>
      <c r="Z33" s="2">
        <v>54.4</v>
      </c>
      <c r="AA33" s="2">
        <v>9.3000000000000007</v>
      </c>
      <c r="AB33" s="2">
        <v>10.3</v>
      </c>
      <c r="AC33" s="2">
        <v>0.51600000000000001</v>
      </c>
      <c r="AD33" s="2">
        <v>12.3</v>
      </c>
      <c r="AE33" s="2">
        <v>23.9</v>
      </c>
      <c r="AF33" s="2">
        <v>0.193</v>
      </c>
    </row>
    <row r="34" spans="1:32" x14ac:dyDescent="0.3">
      <c r="A34" s="2" t="s">
        <v>54</v>
      </c>
      <c r="B34" s="2">
        <v>36</v>
      </c>
      <c r="C34" s="2">
        <v>22</v>
      </c>
      <c r="D34" s="2">
        <v>14</v>
      </c>
      <c r="E34" s="2">
        <v>0.61099999999999999</v>
      </c>
      <c r="F34" s="2">
        <v>12.52</v>
      </c>
      <c r="G34" s="2">
        <v>11.27</v>
      </c>
      <c r="H34" s="2">
        <v>9</v>
      </c>
      <c r="I34" s="2">
        <v>11</v>
      </c>
      <c r="J34" s="2">
        <f t="shared" si="0"/>
        <v>0.45</v>
      </c>
      <c r="K34" s="2">
        <v>14</v>
      </c>
      <c r="L34" s="2">
        <v>3</v>
      </c>
      <c r="M34" s="2">
        <f t="shared" si="1"/>
        <v>0.82352941176470584</v>
      </c>
      <c r="N34" s="2">
        <v>2</v>
      </c>
      <c r="O34" s="2">
        <v>9</v>
      </c>
      <c r="P34" s="2">
        <f t="shared" si="2"/>
        <v>0.18181818181818182</v>
      </c>
      <c r="Q34" s="2">
        <v>2543</v>
      </c>
      <c r="R34" s="2">
        <v>2498</v>
      </c>
      <c r="S34" s="2">
        <f t="shared" si="3"/>
        <v>0.50446340011902402</v>
      </c>
      <c r="T34" s="2">
        <v>67.900000000000006</v>
      </c>
      <c r="U34" s="2">
        <v>103.7</v>
      </c>
      <c r="V34" s="2">
        <v>0.41599999999999998</v>
      </c>
      <c r="W34" s="2">
        <v>0.29599999999999999</v>
      </c>
      <c r="X34" s="2">
        <v>0.52100000000000002</v>
      </c>
      <c r="Y34" s="2">
        <v>51.2</v>
      </c>
      <c r="Z34" s="2">
        <v>59</v>
      </c>
      <c r="AA34" s="2">
        <v>7.1</v>
      </c>
      <c r="AB34" s="2">
        <v>10.1</v>
      </c>
      <c r="AC34" s="2">
        <v>0.48199999999999998</v>
      </c>
      <c r="AD34" s="2">
        <v>14.6</v>
      </c>
      <c r="AE34" s="2">
        <v>30.9</v>
      </c>
      <c r="AF34" s="2">
        <v>0.28299999999999997</v>
      </c>
    </row>
    <row r="35" spans="1:32" x14ac:dyDescent="0.3">
      <c r="A35" s="2" t="s">
        <v>55</v>
      </c>
      <c r="B35" s="2">
        <v>34</v>
      </c>
      <c r="C35" s="2">
        <v>23</v>
      </c>
      <c r="D35" s="2">
        <v>11</v>
      </c>
      <c r="E35" s="2">
        <v>0.67600000000000005</v>
      </c>
      <c r="F35" s="2">
        <v>15.96</v>
      </c>
      <c r="G35" s="2">
        <v>9.07</v>
      </c>
      <c r="H35" s="2">
        <v>10</v>
      </c>
      <c r="I35" s="2">
        <v>8</v>
      </c>
      <c r="J35" s="2">
        <f t="shared" si="0"/>
        <v>0.55555555555555558</v>
      </c>
      <c r="K35" s="2">
        <v>14</v>
      </c>
      <c r="L35" s="2">
        <v>3</v>
      </c>
      <c r="M35" s="2">
        <f t="shared" si="1"/>
        <v>0.82352941176470584</v>
      </c>
      <c r="N35" s="2">
        <v>5</v>
      </c>
      <c r="O35" s="2">
        <v>5</v>
      </c>
      <c r="P35" s="2">
        <f t="shared" si="2"/>
        <v>0.5</v>
      </c>
      <c r="Q35" s="2">
        <v>2628</v>
      </c>
      <c r="R35" s="2">
        <v>2394</v>
      </c>
      <c r="S35" s="2">
        <f t="shared" si="3"/>
        <v>0.52329749103942658</v>
      </c>
      <c r="T35" s="2">
        <v>68.599999999999994</v>
      </c>
      <c r="U35" s="2">
        <v>111.9</v>
      </c>
      <c r="V35" s="2">
        <v>0.32600000000000001</v>
      </c>
      <c r="W35" s="2">
        <v>0.39100000000000001</v>
      </c>
      <c r="X35" s="2">
        <v>0.57399999999999995</v>
      </c>
      <c r="Y35" s="2">
        <v>52.8</v>
      </c>
      <c r="Z35" s="2">
        <v>51.4</v>
      </c>
      <c r="AA35" s="2">
        <v>11.7</v>
      </c>
      <c r="AB35" s="2">
        <v>14</v>
      </c>
      <c r="AC35" s="2">
        <v>0.54600000000000004</v>
      </c>
      <c r="AD35" s="2">
        <v>16.5</v>
      </c>
      <c r="AE35" s="2">
        <v>34.6</v>
      </c>
      <c r="AF35" s="2">
        <v>0.23400000000000001</v>
      </c>
    </row>
    <row r="36" spans="1:32" x14ac:dyDescent="0.3">
      <c r="A36" s="2" t="s">
        <v>56</v>
      </c>
      <c r="B36" s="2">
        <v>33</v>
      </c>
      <c r="C36" s="2">
        <v>20</v>
      </c>
      <c r="D36" s="2">
        <v>13</v>
      </c>
      <c r="E36" s="2">
        <v>0.60599999999999998</v>
      </c>
      <c r="F36" s="2">
        <v>12.32</v>
      </c>
      <c r="G36" s="2">
        <v>8.1300000000000008</v>
      </c>
      <c r="H36" s="2">
        <v>10</v>
      </c>
      <c r="I36" s="2">
        <v>8</v>
      </c>
      <c r="J36" s="2">
        <f t="shared" si="0"/>
        <v>0.55555555555555558</v>
      </c>
      <c r="K36" s="2">
        <v>11</v>
      </c>
      <c r="L36" s="2">
        <v>5</v>
      </c>
      <c r="M36" s="2">
        <f t="shared" si="1"/>
        <v>0.6875</v>
      </c>
      <c r="N36" s="2">
        <v>6</v>
      </c>
      <c r="O36" s="2">
        <v>5</v>
      </c>
      <c r="P36" s="2">
        <f t="shared" si="2"/>
        <v>0.54545454545454541</v>
      </c>
      <c r="Q36" s="2">
        <v>2485</v>
      </c>
      <c r="R36" s="2">
        <v>2347</v>
      </c>
      <c r="S36" s="2">
        <f t="shared" si="3"/>
        <v>0.51427980132450335</v>
      </c>
      <c r="T36" s="2">
        <v>69.2</v>
      </c>
      <c r="U36" s="2">
        <v>108.4</v>
      </c>
      <c r="V36" s="2">
        <v>0.309</v>
      </c>
      <c r="W36" s="2">
        <v>0.39900000000000002</v>
      </c>
      <c r="X36" s="2">
        <v>0.56799999999999995</v>
      </c>
      <c r="Y36" s="2">
        <v>51.1</v>
      </c>
      <c r="Z36" s="2">
        <v>54.2</v>
      </c>
      <c r="AA36" s="2">
        <v>10.199999999999999</v>
      </c>
      <c r="AB36" s="2">
        <v>9.6</v>
      </c>
      <c r="AC36" s="2">
        <v>0.53100000000000003</v>
      </c>
      <c r="AD36" s="2">
        <v>16</v>
      </c>
      <c r="AE36" s="2">
        <v>30.1</v>
      </c>
      <c r="AF36" s="2">
        <v>0.24199999999999999</v>
      </c>
    </row>
    <row r="37" spans="1:32" x14ac:dyDescent="0.3">
      <c r="A37" s="2" t="s">
        <v>57</v>
      </c>
      <c r="B37" s="2">
        <v>35</v>
      </c>
      <c r="C37" s="2">
        <v>26</v>
      </c>
      <c r="D37" s="2">
        <v>9</v>
      </c>
      <c r="E37" s="2">
        <v>0.74299999999999999</v>
      </c>
      <c r="F37" s="2">
        <v>1.5</v>
      </c>
      <c r="G37" s="2">
        <v>-5.05</v>
      </c>
      <c r="H37" s="2">
        <v>16</v>
      </c>
      <c r="I37" s="2">
        <v>4</v>
      </c>
      <c r="J37" s="2">
        <f t="shared" si="0"/>
        <v>0.8</v>
      </c>
      <c r="K37" s="2">
        <v>12</v>
      </c>
      <c r="L37" s="2">
        <v>2</v>
      </c>
      <c r="M37" s="2">
        <f t="shared" si="1"/>
        <v>0.8571428571428571</v>
      </c>
      <c r="N37" s="2">
        <v>9</v>
      </c>
      <c r="O37" s="2">
        <v>5</v>
      </c>
      <c r="P37" s="2">
        <f t="shared" si="2"/>
        <v>0.6428571428571429</v>
      </c>
      <c r="Q37" s="2">
        <v>2665</v>
      </c>
      <c r="R37" s="2">
        <v>2397</v>
      </c>
      <c r="S37" s="2">
        <f t="shared" si="3"/>
        <v>0.52647175029632554</v>
      </c>
      <c r="T37" s="2">
        <v>68.599999999999994</v>
      </c>
      <c r="U37" s="2">
        <v>110.6</v>
      </c>
      <c r="V37" s="2">
        <v>0.313</v>
      </c>
      <c r="W37" s="2">
        <v>0.38500000000000001</v>
      </c>
      <c r="X37" s="2">
        <v>0.58499999999999996</v>
      </c>
      <c r="Y37" s="2">
        <v>51.8</v>
      </c>
      <c r="Z37" s="2">
        <v>52.3</v>
      </c>
      <c r="AA37" s="2">
        <v>9.5</v>
      </c>
      <c r="AB37" s="2">
        <v>8.8000000000000007</v>
      </c>
      <c r="AC37" s="2">
        <v>0.56399999999999995</v>
      </c>
      <c r="AD37" s="2">
        <v>15.4</v>
      </c>
      <c r="AE37" s="2">
        <v>26.6</v>
      </c>
      <c r="AF37" s="2">
        <v>0.216</v>
      </c>
    </row>
    <row r="38" spans="1:32" x14ac:dyDescent="0.3">
      <c r="A38" s="2" t="s">
        <v>58</v>
      </c>
      <c r="B38" s="2">
        <v>33</v>
      </c>
      <c r="C38" s="2">
        <v>28</v>
      </c>
      <c r="D38" s="2">
        <v>5</v>
      </c>
      <c r="E38" s="2">
        <v>0.84799999999999998</v>
      </c>
      <c r="F38" s="2">
        <v>8.9600000000000009</v>
      </c>
      <c r="G38" s="2">
        <v>-3.11</v>
      </c>
      <c r="H38" s="2">
        <v>16</v>
      </c>
      <c r="I38" s="2">
        <v>2</v>
      </c>
      <c r="J38" s="2">
        <f t="shared" si="0"/>
        <v>0.88888888888888884</v>
      </c>
      <c r="K38" s="2">
        <v>15</v>
      </c>
      <c r="L38" s="2">
        <v>1</v>
      </c>
      <c r="M38" s="2">
        <f t="shared" si="1"/>
        <v>0.9375</v>
      </c>
      <c r="N38" s="2">
        <v>10</v>
      </c>
      <c r="O38" s="2">
        <v>3</v>
      </c>
      <c r="P38" s="2">
        <f t="shared" si="2"/>
        <v>0.76923076923076927</v>
      </c>
      <c r="Q38" s="2">
        <v>2727</v>
      </c>
      <c r="R38" s="2">
        <v>2255</v>
      </c>
      <c r="S38" s="2">
        <f t="shared" si="3"/>
        <v>0.54737053392211965</v>
      </c>
      <c r="T38" s="2">
        <v>71.8</v>
      </c>
      <c r="U38" s="2">
        <v>115.1</v>
      </c>
      <c r="V38" s="2">
        <v>0.33500000000000002</v>
      </c>
      <c r="W38" s="2">
        <v>0.36399999999999999</v>
      </c>
      <c r="X38" s="2">
        <v>0.58599999999999997</v>
      </c>
      <c r="Y38" s="2">
        <v>52.1</v>
      </c>
      <c r="Z38" s="2">
        <v>59.8</v>
      </c>
      <c r="AA38" s="2">
        <v>10.5</v>
      </c>
      <c r="AB38" s="2">
        <v>11.5</v>
      </c>
      <c r="AC38" s="2">
        <v>0.55700000000000005</v>
      </c>
      <c r="AD38" s="2">
        <v>14.7</v>
      </c>
      <c r="AE38" s="2">
        <v>31.3</v>
      </c>
      <c r="AF38" s="2">
        <v>0.246</v>
      </c>
    </row>
    <row r="39" spans="1:32" x14ac:dyDescent="0.3">
      <c r="A39" s="2" t="s">
        <v>59</v>
      </c>
      <c r="B39" s="2">
        <v>34</v>
      </c>
      <c r="C39" s="2">
        <v>29</v>
      </c>
      <c r="D39" s="2">
        <v>5</v>
      </c>
      <c r="E39" s="2">
        <v>0.85299999999999998</v>
      </c>
      <c r="F39" s="2">
        <v>16</v>
      </c>
      <c r="G39" s="2">
        <v>2.68</v>
      </c>
      <c r="H39" s="2">
        <v>15</v>
      </c>
      <c r="I39" s="2">
        <v>3</v>
      </c>
      <c r="J39" s="2">
        <f t="shared" si="0"/>
        <v>0.83333333333333337</v>
      </c>
      <c r="K39" s="2">
        <v>15</v>
      </c>
      <c r="L39" s="2">
        <v>0</v>
      </c>
      <c r="M39" s="2">
        <f t="shared" si="1"/>
        <v>1</v>
      </c>
      <c r="N39" s="2">
        <v>9</v>
      </c>
      <c r="O39" s="2">
        <v>3</v>
      </c>
      <c r="P39" s="2">
        <f t="shared" si="2"/>
        <v>0.75</v>
      </c>
      <c r="Q39" s="2">
        <v>2723</v>
      </c>
      <c r="R39" s="2">
        <v>2270</v>
      </c>
      <c r="S39" s="2">
        <f t="shared" si="3"/>
        <v>0.54536350891247742</v>
      </c>
      <c r="T39" s="2">
        <v>70.7</v>
      </c>
      <c r="U39" s="2">
        <v>113.2</v>
      </c>
      <c r="V39" s="2">
        <v>0.40799999999999997</v>
      </c>
      <c r="W39" s="2">
        <v>0.42799999999999999</v>
      </c>
      <c r="X39" s="2">
        <v>0.56999999999999995</v>
      </c>
      <c r="Y39" s="2">
        <v>51.8</v>
      </c>
      <c r="Z39" s="2">
        <v>53.9</v>
      </c>
      <c r="AA39" s="2">
        <v>8.8000000000000007</v>
      </c>
      <c r="AB39" s="2">
        <v>11.2</v>
      </c>
      <c r="AC39" s="2">
        <v>0.53700000000000003</v>
      </c>
      <c r="AD39" s="2">
        <v>12.9</v>
      </c>
      <c r="AE39" s="2">
        <v>27.1</v>
      </c>
      <c r="AF39" s="2">
        <v>0.28899999999999998</v>
      </c>
    </row>
    <row r="40" spans="1:32" x14ac:dyDescent="0.3">
      <c r="A40" s="2" t="s">
        <v>60</v>
      </c>
      <c r="B40" s="2">
        <v>35</v>
      </c>
      <c r="C40" s="2">
        <v>30</v>
      </c>
      <c r="D40" s="2">
        <v>5</v>
      </c>
      <c r="E40" s="2">
        <v>0.85699999999999998</v>
      </c>
      <c r="F40" s="2">
        <v>10.050000000000001</v>
      </c>
      <c r="G40" s="2">
        <v>-2.38</v>
      </c>
      <c r="H40" s="2">
        <v>15</v>
      </c>
      <c r="I40" s="2">
        <v>1</v>
      </c>
      <c r="J40" s="2">
        <f t="shared" si="0"/>
        <v>0.9375</v>
      </c>
      <c r="K40" s="2">
        <v>16</v>
      </c>
      <c r="L40" s="2">
        <v>1</v>
      </c>
      <c r="M40" s="2">
        <f t="shared" si="1"/>
        <v>0.94117647058823528</v>
      </c>
      <c r="N40" s="2">
        <v>10</v>
      </c>
      <c r="O40" s="2">
        <v>1</v>
      </c>
      <c r="P40" s="2">
        <f t="shared" si="2"/>
        <v>0.90909090909090906</v>
      </c>
      <c r="Q40" s="2">
        <v>2734</v>
      </c>
      <c r="R40" s="2">
        <v>2259</v>
      </c>
      <c r="S40" s="2">
        <f t="shared" si="3"/>
        <v>0.5475665932305227</v>
      </c>
      <c r="T40" s="2">
        <v>68.3</v>
      </c>
      <c r="U40" s="2">
        <v>113.9</v>
      </c>
      <c r="V40" s="2">
        <v>0.34100000000000003</v>
      </c>
      <c r="W40" s="2">
        <v>0.46700000000000003</v>
      </c>
      <c r="X40" s="2">
        <v>0.56200000000000006</v>
      </c>
      <c r="Y40" s="2">
        <v>57.2</v>
      </c>
      <c r="Z40" s="2">
        <v>53.4</v>
      </c>
      <c r="AA40" s="2">
        <v>8.1999999999999993</v>
      </c>
      <c r="AB40" s="2">
        <v>8.1</v>
      </c>
      <c r="AC40" s="2">
        <v>0.53800000000000003</v>
      </c>
      <c r="AD40" s="2">
        <v>14.7</v>
      </c>
      <c r="AE40" s="2">
        <v>36.700000000000003</v>
      </c>
      <c r="AF40" s="2">
        <v>0.23100000000000001</v>
      </c>
    </row>
    <row r="41" spans="1:32" x14ac:dyDescent="0.3">
      <c r="A41" s="2" t="s">
        <v>61</v>
      </c>
      <c r="B41" s="2">
        <v>34</v>
      </c>
      <c r="C41" s="2">
        <v>18</v>
      </c>
      <c r="D41" s="2">
        <v>16</v>
      </c>
      <c r="E41" s="2">
        <v>0.52900000000000003</v>
      </c>
      <c r="F41" s="2">
        <v>-11.53</v>
      </c>
      <c r="G41" s="2">
        <v>-11.24</v>
      </c>
      <c r="H41" s="2">
        <v>10</v>
      </c>
      <c r="I41" s="2">
        <v>6</v>
      </c>
      <c r="J41" s="2">
        <f t="shared" si="0"/>
        <v>0.625</v>
      </c>
      <c r="K41" s="2">
        <v>10</v>
      </c>
      <c r="L41" s="2">
        <v>2</v>
      </c>
      <c r="M41" s="2">
        <f t="shared" si="1"/>
        <v>0.83333333333333337</v>
      </c>
      <c r="N41" s="2">
        <v>4</v>
      </c>
      <c r="O41" s="2">
        <v>12</v>
      </c>
      <c r="P41" s="2">
        <f t="shared" si="2"/>
        <v>0.25</v>
      </c>
      <c r="Q41" s="2">
        <v>2429</v>
      </c>
      <c r="R41" s="2">
        <v>2266</v>
      </c>
      <c r="S41" s="2">
        <f t="shared" si="3"/>
        <v>0.51735889243876465</v>
      </c>
      <c r="T41" s="2">
        <v>68.5</v>
      </c>
      <c r="U41" s="2">
        <v>104</v>
      </c>
      <c r="V41" s="2">
        <v>0.33400000000000002</v>
      </c>
      <c r="W41" s="2">
        <v>0.36099999999999999</v>
      </c>
      <c r="X41" s="2">
        <v>0.54500000000000004</v>
      </c>
      <c r="Y41" s="2">
        <v>54.8</v>
      </c>
      <c r="Z41" s="2">
        <v>60.2</v>
      </c>
      <c r="AA41" s="2">
        <v>8.9</v>
      </c>
      <c r="AB41" s="2">
        <v>7.5</v>
      </c>
      <c r="AC41" s="2">
        <v>0.51200000000000001</v>
      </c>
      <c r="AD41" s="2">
        <v>18.8</v>
      </c>
      <c r="AE41" s="2">
        <v>35.1</v>
      </c>
      <c r="AF41" s="2">
        <v>0.23899999999999999</v>
      </c>
    </row>
    <row r="42" spans="1:32" x14ac:dyDescent="0.3">
      <c r="A42" s="2" t="s">
        <v>62</v>
      </c>
      <c r="B42" s="2">
        <v>36</v>
      </c>
      <c r="C42" s="2">
        <v>29</v>
      </c>
      <c r="D42" s="2">
        <v>7</v>
      </c>
      <c r="E42" s="2">
        <v>0.80600000000000005</v>
      </c>
      <c r="F42" s="2">
        <v>23.94</v>
      </c>
      <c r="G42" s="2">
        <v>11.35</v>
      </c>
      <c r="H42" s="2">
        <v>16</v>
      </c>
      <c r="I42" s="2">
        <v>2</v>
      </c>
      <c r="J42" s="2">
        <f t="shared" si="0"/>
        <v>0.88888888888888884</v>
      </c>
      <c r="K42" s="2">
        <v>14</v>
      </c>
      <c r="L42" s="2">
        <v>2</v>
      </c>
      <c r="M42" s="2">
        <f t="shared" si="1"/>
        <v>0.875</v>
      </c>
      <c r="N42" s="2">
        <v>11</v>
      </c>
      <c r="O42" s="2">
        <v>1</v>
      </c>
      <c r="P42" s="2">
        <f t="shared" si="2"/>
        <v>0.91666666666666663</v>
      </c>
      <c r="Q42" s="2">
        <v>3089</v>
      </c>
      <c r="R42" s="2">
        <v>2636</v>
      </c>
      <c r="S42" s="2">
        <f t="shared" si="3"/>
        <v>0.53956331877729258</v>
      </c>
      <c r="T42" s="2">
        <v>75.900000000000006</v>
      </c>
      <c r="U42" s="2">
        <v>112.7</v>
      </c>
      <c r="V42" s="2">
        <v>0.30199999999999999</v>
      </c>
      <c r="W42" s="2">
        <v>0.35799999999999998</v>
      </c>
      <c r="X42" s="2">
        <v>0.56000000000000005</v>
      </c>
      <c r="Y42" s="2">
        <v>56.6</v>
      </c>
      <c r="Z42" s="2">
        <v>60.6</v>
      </c>
      <c r="AA42" s="2">
        <v>9.1999999999999993</v>
      </c>
      <c r="AB42" s="2">
        <v>9.5</v>
      </c>
      <c r="AC42" s="2">
        <v>0.52900000000000003</v>
      </c>
      <c r="AD42" s="2">
        <v>14.6</v>
      </c>
      <c r="AE42" s="2">
        <v>34.799999999999997</v>
      </c>
      <c r="AF42" s="2">
        <v>0.224</v>
      </c>
    </row>
    <row r="43" spans="1:32" x14ac:dyDescent="0.3">
      <c r="A43" s="2" t="s">
        <v>63</v>
      </c>
      <c r="B43" s="2">
        <v>35</v>
      </c>
      <c r="C43" s="2">
        <v>19</v>
      </c>
      <c r="D43" s="2">
        <v>16</v>
      </c>
      <c r="E43" s="2">
        <v>0.54300000000000004</v>
      </c>
      <c r="F43" s="2">
        <v>-4.01</v>
      </c>
      <c r="G43" s="2">
        <v>-2.0699999999999998</v>
      </c>
      <c r="H43" s="2">
        <v>9</v>
      </c>
      <c r="I43" s="2">
        <v>7</v>
      </c>
      <c r="J43" s="2">
        <f t="shared" si="0"/>
        <v>0.5625</v>
      </c>
      <c r="K43" s="2">
        <v>10</v>
      </c>
      <c r="L43" s="2">
        <v>3</v>
      </c>
      <c r="M43" s="2">
        <f t="shared" si="1"/>
        <v>0.76923076923076927</v>
      </c>
      <c r="N43" s="2">
        <v>4</v>
      </c>
      <c r="O43" s="2">
        <v>9</v>
      </c>
      <c r="P43" s="2">
        <f t="shared" si="2"/>
        <v>0.30769230769230771</v>
      </c>
      <c r="Q43" s="2">
        <v>2556</v>
      </c>
      <c r="R43" s="2">
        <v>2541</v>
      </c>
      <c r="S43" s="2">
        <f t="shared" si="3"/>
        <v>0.50147145379635083</v>
      </c>
      <c r="T43" s="2">
        <v>66.8</v>
      </c>
      <c r="U43" s="2">
        <v>108.5</v>
      </c>
      <c r="V43" s="2">
        <v>0.318</v>
      </c>
      <c r="W43" s="2">
        <v>0.47199999999999998</v>
      </c>
      <c r="X43" s="2">
        <v>0.57599999999999996</v>
      </c>
      <c r="Y43" s="2">
        <v>48.7</v>
      </c>
      <c r="Z43" s="2">
        <v>46</v>
      </c>
      <c r="AA43" s="2">
        <v>6.8</v>
      </c>
      <c r="AB43" s="2">
        <v>6.6</v>
      </c>
      <c r="AC43" s="2">
        <v>0.54</v>
      </c>
      <c r="AD43" s="2">
        <v>14.2</v>
      </c>
      <c r="AE43" s="2">
        <v>20.6</v>
      </c>
      <c r="AF43" s="2">
        <v>0.247</v>
      </c>
    </row>
    <row r="44" spans="1:32" x14ac:dyDescent="0.3">
      <c r="A44" s="2" t="s">
        <v>64</v>
      </c>
      <c r="B44" s="2">
        <v>34</v>
      </c>
      <c r="C44" s="2">
        <v>23</v>
      </c>
      <c r="D44" s="2">
        <v>11</v>
      </c>
      <c r="E44" s="2">
        <v>0.67600000000000005</v>
      </c>
      <c r="F44" s="2">
        <v>3.95</v>
      </c>
      <c r="G44" s="2">
        <v>-0.7</v>
      </c>
      <c r="H44" s="2">
        <v>14</v>
      </c>
      <c r="I44" s="2">
        <v>4</v>
      </c>
      <c r="J44" s="2">
        <f t="shared" si="0"/>
        <v>0.77777777777777779</v>
      </c>
      <c r="K44" s="2">
        <v>11</v>
      </c>
      <c r="L44" s="2">
        <v>2</v>
      </c>
      <c r="M44" s="2">
        <f t="shared" si="1"/>
        <v>0.84615384615384615</v>
      </c>
      <c r="N44" s="2">
        <v>8</v>
      </c>
      <c r="O44" s="2">
        <v>6</v>
      </c>
      <c r="P44" s="2">
        <f t="shared" si="2"/>
        <v>0.5714285714285714</v>
      </c>
      <c r="Q44" s="2">
        <v>2564</v>
      </c>
      <c r="R44" s="2">
        <v>2406</v>
      </c>
      <c r="S44" s="2">
        <f t="shared" si="3"/>
        <v>0.51589537223340043</v>
      </c>
      <c r="T44" s="2">
        <v>66.3</v>
      </c>
      <c r="U44" s="2">
        <v>111.7</v>
      </c>
      <c r="V44" s="2">
        <v>0.34300000000000003</v>
      </c>
      <c r="W44" s="2">
        <v>0.46400000000000002</v>
      </c>
      <c r="X44" s="2">
        <v>0.59699999999999998</v>
      </c>
      <c r="Y44" s="2">
        <v>49.7</v>
      </c>
      <c r="Z44" s="2">
        <v>54.5</v>
      </c>
      <c r="AA44" s="2">
        <v>9.1999999999999993</v>
      </c>
      <c r="AB44" s="2">
        <v>6</v>
      </c>
      <c r="AC44" s="2">
        <v>0.56499999999999995</v>
      </c>
      <c r="AD44" s="2">
        <v>15.1</v>
      </c>
      <c r="AE44" s="2">
        <v>22.5</v>
      </c>
      <c r="AF44" s="2">
        <v>0.25800000000000001</v>
      </c>
    </row>
    <row r="45" spans="1:32" x14ac:dyDescent="0.3">
      <c r="A45" s="2" t="s">
        <v>65</v>
      </c>
      <c r="B45" s="2">
        <v>35</v>
      </c>
      <c r="C45" s="2">
        <v>26</v>
      </c>
      <c r="D45" s="2">
        <v>9</v>
      </c>
      <c r="E45" s="2">
        <v>0.74299999999999999</v>
      </c>
      <c r="F45" s="2">
        <v>4.67</v>
      </c>
      <c r="G45" s="2">
        <v>-2.39</v>
      </c>
      <c r="H45" s="2">
        <v>13</v>
      </c>
      <c r="I45" s="2">
        <v>5</v>
      </c>
      <c r="J45" s="2">
        <f t="shared" si="0"/>
        <v>0.72222222222222221</v>
      </c>
      <c r="K45" s="2">
        <v>17</v>
      </c>
      <c r="L45" s="2">
        <v>1</v>
      </c>
      <c r="M45" s="2">
        <f t="shared" si="1"/>
        <v>0.94444444444444442</v>
      </c>
      <c r="N45" s="2">
        <v>7</v>
      </c>
      <c r="O45" s="2">
        <v>7</v>
      </c>
      <c r="P45" s="2">
        <f t="shared" si="2"/>
        <v>0.5</v>
      </c>
      <c r="Q45" s="2">
        <v>2747</v>
      </c>
      <c r="R45" s="2">
        <v>2410</v>
      </c>
      <c r="S45" s="2">
        <f t="shared" si="3"/>
        <v>0.53267403529183632</v>
      </c>
      <c r="T45" s="2">
        <v>70</v>
      </c>
      <c r="U45" s="2">
        <v>111.3</v>
      </c>
      <c r="V45" s="2">
        <v>0.35399999999999998</v>
      </c>
      <c r="W45" s="2">
        <v>0.41199999999999998</v>
      </c>
      <c r="X45" s="2">
        <v>0.57399999999999995</v>
      </c>
      <c r="Y45" s="2">
        <v>53.2</v>
      </c>
      <c r="Z45" s="2">
        <v>60.5</v>
      </c>
      <c r="AA45" s="2">
        <v>8.8000000000000007</v>
      </c>
      <c r="AB45" s="2">
        <v>11.5</v>
      </c>
      <c r="AC45" s="2">
        <v>0.55300000000000005</v>
      </c>
      <c r="AD45" s="2">
        <v>15.6</v>
      </c>
      <c r="AE45" s="2">
        <v>30.6</v>
      </c>
      <c r="AF45" s="2">
        <v>0.23599999999999999</v>
      </c>
    </row>
    <row r="46" spans="1:32" x14ac:dyDescent="0.3">
      <c r="A46" s="2" t="s">
        <v>66</v>
      </c>
      <c r="B46" s="2">
        <v>35</v>
      </c>
      <c r="C46" s="2">
        <v>20</v>
      </c>
      <c r="D46" s="2">
        <v>15</v>
      </c>
      <c r="E46" s="2">
        <v>0.57099999999999995</v>
      </c>
      <c r="F46" s="2">
        <v>13.89</v>
      </c>
      <c r="G46" s="2">
        <v>11</v>
      </c>
      <c r="H46" s="2">
        <v>8</v>
      </c>
      <c r="I46" s="2">
        <v>12</v>
      </c>
      <c r="J46" s="2">
        <f t="shared" si="0"/>
        <v>0.4</v>
      </c>
      <c r="K46" s="2">
        <v>12</v>
      </c>
      <c r="L46" s="2">
        <v>6</v>
      </c>
      <c r="M46" s="2">
        <f t="shared" si="1"/>
        <v>0.66666666666666663</v>
      </c>
      <c r="N46" s="2">
        <v>4</v>
      </c>
      <c r="O46" s="2">
        <v>7</v>
      </c>
      <c r="P46" s="2">
        <f t="shared" si="2"/>
        <v>0.36363636363636365</v>
      </c>
      <c r="Q46" s="2">
        <v>2419</v>
      </c>
      <c r="R46" s="2">
        <v>2318</v>
      </c>
      <c r="S46" s="2">
        <f t="shared" si="3"/>
        <v>0.51066075575258607</v>
      </c>
      <c r="T46" s="2">
        <v>66.7</v>
      </c>
      <c r="U46" s="2">
        <v>103.2</v>
      </c>
      <c r="V46" s="2">
        <v>0.33700000000000002</v>
      </c>
      <c r="W46" s="2">
        <v>0.40100000000000002</v>
      </c>
      <c r="X46" s="2">
        <v>0.54</v>
      </c>
      <c r="Y46" s="2">
        <v>50.9</v>
      </c>
      <c r="Z46" s="2">
        <v>58.9</v>
      </c>
      <c r="AA46" s="2">
        <v>8.8000000000000007</v>
      </c>
      <c r="AB46" s="2">
        <v>7</v>
      </c>
      <c r="AC46" s="2">
        <v>0.503</v>
      </c>
      <c r="AD46" s="2">
        <v>16.399999999999999</v>
      </c>
      <c r="AE46" s="2">
        <v>27.6</v>
      </c>
      <c r="AF46" s="2">
        <v>0.247</v>
      </c>
    </row>
    <row r="47" spans="1:32" x14ac:dyDescent="0.3">
      <c r="A47" s="2" t="s">
        <v>67</v>
      </c>
      <c r="B47" s="2">
        <v>34</v>
      </c>
      <c r="C47" s="2">
        <v>20</v>
      </c>
      <c r="D47" s="2">
        <v>14</v>
      </c>
      <c r="E47" s="2">
        <v>0.58799999999999997</v>
      </c>
      <c r="F47" s="2">
        <v>15.3</v>
      </c>
      <c r="G47" s="2">
        <v>12.21</v>
      </c>
      <c r="H47" s="2">
        <v>7</v>
      </c>
      <c r="I47" s="2">
        <v>11</v>
      </c>
      <c r="J47" s="2">
        <f t="shared" si="0"/>
        <v>0.3888888888888889</v>
      </c>
      <c r="K47" s="2">
        <v>11</v>
      </c>
      <c r="L47" s="2">
        <v>4</v>
      </c>
      <c r="M47" s="2">
        <f t="shared" si="1"/>
        <v>0.73333333333333328</v>
      </c>
      <c r="N47" s="2">
        <v>5</v>
      </c>
      <c r="O47" s="2">
        <v>7</v>
      </c>
      <c r="P47" s="2">
        <f t="shared" si="2"/>
        <v>0.41666666666666669</v>
      </c>
      <c r="Q47" s="2">
        <v>2423</v>
      </c>
      <c r="R47" s="2">
        <v>2318</v>
      </c>
      <c r="S47" s="2">
        <f t="shared" si="3"/>
        <v>0.51107361316178024</v>
      </c>
      <c r="T47" s="2">
        <v>69.3</v>
      </c>
      <c r="U47" s="2">
        <v>102.5</v>
      </c>
      <c r="V47" s="2">
        <v>0.313</v>
      </c>
      <c r="W47" s="2">
        <v>0.33100000000000002</v>
      </c>
      <c r="X47" s="2">
        <v>0.53400000000000003</v>
      </c>
      <c r="Y47" s="2">
        <v>50.2</v>
      </c>
      <c r="Z47" s="2">
        <v>48.7</v>
      </c>
      <c r="AA47" s="2">
        <v>8.6</v>
      </c>
      <c r="AB47" s="2">
        <v>8.3000000000000007</v>
      </c>
      <c r="AC47" s="2">
        <v>0.504</v>
      </c>
      <c r="AD47" s="2">
        <v>15</v>
      </c>
      <c r="AE47" s="2">
        <v>25.6</v>
      </c>
      <c r="AF47" s="2">
        <v>0.218</v>
      </c>
    </row>
    <row r="48" spans="1:32" x14ac:dyDescent="0.3">
      <c r="A48" s="2" t="s">
        <v>68</v>
      </c>
      <c r="B48" s="2">
        <v>35</v>
      </c>
      <c r="C48" s="2">
        <v>26</v>
      </c>
      <c r="D48" s="2">
        <v>9</v>
      </c>
      <c r="E48" s="2">
        <v>0.74299999999999999</v>
      </c>
      <c r="F48" s="2">
        <v>3.74</v>
      </c>
      <c r="G48" s="2">
        <v>-1.18</v>
      </c>
      <c r="H48" s="2">
        <v>13</v>
      </c>
      <c r="I48" s="2">
        <v>5</v>
      </c>
      <c r="J48" s="2">
        <f t="shared" si="0"/>
        <v>0.72222222222222221</v>
      </c>
      <c r="K48" s="2">
        <v>14</v>
      </c>
      <c r="L48" s="2">
        <v>2</v>
      </c>
      <c r="M48" s="2">
        <f t="shared" si="1"/>
        <v>0.875</v>
      </c>
      <c r="N48" s="2">
        <v>8</v>
      </c>
      <c r="O48" s="2">
        <v>4</v>
      </c>
      <c r="P48" s="2">
        <f t="shared" si="2"/>
        <v>0.66666666666666663</v>
      </c>
      <c r="Q48" s="2">
        <v>2300</v>
      </c>
      <c r="R48" s="2">
        <v>2128</v>
      </c>
      <c r="S48" s="2">
        <f t="shared" si="3"/>
        <v>0.51942186088527553</v>
      </c>
      <c r="T48" s="2">
        <v>65.599999999999994</v>
      </c>
      <c r="U48" s="2">
        <v>100.2</v>
      </c>
      <c r="V48" s="2">
        <v>0.28899999999999998</v>
      </c>
      <c r="W48" s="2">
        <v>0.373</v>
      </c>
      <c r="X48" s="2">
        <v>0.499</v>
      </c>
      <c r="Y48" s="2">
        <v>53.2</v>
      </c>
      <c r="Z48" s="2">
        <v>53.3</v>
      </c>
      <c r="AA48" s="2">
        <v>8.6</v>
      </c>
      <c r="AB48" s="2">
        <v>14.3</v>
      </c>
      <c r="AC48" s="2">
        <v>0.47099999999999997</v>
      </c>
      <c r="AD48" s="2">
        <v>15</v>
      </c>
      <c r="AE48" s="2">
        <v>31.8</v>
      </c>
      <c r="AF48" s="2">
        <v>0.192</v>
      </c>
    </row>
    <row r="49" spans="1:32" x14ac:dyDescent="0.3">
      <c r="A49" s="2" t="s">
        <v>69</v>
      </c>
      <c r="B49" s="2">
        <v>38</v>
      </c>
      <c r="C49" s="2">
        <v>25</v>
      </c>
      <c r="D49" s="2">
        <v>13</v>
      </c>
      <c r="E49" s="2">
        <v>0.65800000000000003</v>
      </c>
      <c r="F49" s="2">
        <v>13.95</v>
      </c>
      <c r="G49" s="2">
        <v>6.13</v>
      </c>
      <c r="H49" s="2">
        <v>10</v>
      </c>
      <c r="I49" s="2">
        <v>8</v>
      </c>
      <c r="J49" s="2">
        <f t="shared" si="0"/>
        <v>0.55555555555555558</v>
      </c>
      <c r="K49" s="2">
        <v>13</v>
      </c>
      <c r="L49" s="2">
        <v>4</v>
      </c>
      <c r="M49" s="2">
        <f t="shared" si="1"/>
        <v>0.76470588235294112</v>
      </c>
      <c r="N49" s="2">
        <v>5</v>
      </c>
      <c r="O49" s="2">
        <v>7</v>
      </c>
      <c r="P49" s="2">
        <f t="shared" si="2"/>
        <v>0.41666666666666669</v>
      </c>
      <c r="Q49" s="2">
        <v>2661</v>
      </c>
      <c r="R49" s="2">
        <v>2364</v>
      </c>
      <c r="S49" s="2">
        <f t="shared" si="3"/>
        <v>0.52955223880597013</v>
      </c>
      <c r="T49" s="2">
        <v>65.5</v>
      </c>
      <c r="U49" s="2">
        <v>106.2</v>
      </c>
      <c r="V49" s="2">
        <v>0.29399999999999998</v>
      </c>
      <c r="W49" s="2">
        <v>0.39500000000000002</v>
      </c>
      <c r="X49" s="2">
        <v>0.54900000000000004</v>
      </c>
      <c r="Y49" s="2">
        <v>51.1</v>
      </c>
      <c r="Z49" s="2">
        <v>52.3</v>
      </c>
      <c r="AA49" s="2">
        <v>11.6</v>
      </c>
      <c r="AB49" s="2">
        <v>14.6</v>
      </c>
      <c r="AC49" s="2">
        <v>0.52</v>
      </c>
      <c r="AD49" s="2">
        <v>15.4</v>
      </c>
      <c r="AE49" s="2">
        <v>29.1</v>
      </c>
      <c r="AF49" s="2">
        <v>0.21199999999999999</v>
      </c>
    </row>
    <row r="50" spans="1:32" x14ac:dyDescent="0.3">
      <c r="A50" s="2" t="s">
        <v>70</v>
      </c>
      <c r="B50" s="2">
        <v>35</v>
      </c>
      <c r="C50" s="2">
        <v>22</v>
      </c>
      <c r="D50" s="2">
        <v>13</v>
      </c>
      <c r="E50" s="2">
        <v>0.629</v>
      </c>
      <c r="F50" s="2">
        <v>-7.29</v>
      </c>
      <c r="G50" s="2">
        <v>-9.17</v>
      </c>
      <c r="H50" s="2">
        <v>17</v>
      </c>
      <c r="I50" s="2">
        <v>1</v>
      </c>
      <c r="J50" s="2">
        <f t="shared" si="0"/>
        <v>0.94444444444444442</v>
      </c>
      <c r="K50" s="2">
        <v>11</v>
      </c>
      <c r="L50" s="2">
        <v>0</v>
      </c>
      <c r="M50" s="2">
        <f t="shared" si="1"/>
        <v>1</v>
      </c>
      <c r="N50" s="2">
        <v>9</v>
      </c>
      <c r="O50" s="2">
        <v>12</v>
      </c>
      <c r="P50" s="2">
        <f t="shared" si="2"/>
        <v>0.42857142857142855</v>
      </c>
      <c r="Q50" s="2">
        <v>2627</v>
      </c>
      <c r="R50" s="2">
        <v>2547</v>
      </c>
      <c r="S50" s="2">
        <f t="shared" si="3"/>
        <v>0.50773096250483185</v>
      </c>
      <c r="T50" s="2">
        <v>72.5</v>
      </c>
      <c r="U50" s="2">
        <v>103.5</v>
      </c>
      <c r="V50" s="2">
        <v>0.42499999999999999</v>
      </c>
      <c r="W50" s="2">
        <v>0.34100000000000003</v>
      </c>
      <c r="X50" s="2">
        <v>0.53</v>
      </c>
      <c r="Y50" s="2">
        <v>46.7</v>
      </c>
      <c r="Z50" s="2">
        <v>49.3</v>
      </c>
      <c r="AA50" s="2">
        <v>12.2</v>
      </c>
      <c r="AB50" s="2">
        <v>4.5999999999999996</v>
      </c>
      <c r="AC50" s="2">
        <v>0.49299999999999999</v>
      </c>
      <c r="AD50" s="2">
        <v>15.2</v>
      </c>
      <c r="AE50" s="2">
        <v>29.8</v>
      </c>
      <c r="AF50" s="2">
        <v>0.28899999999999998</v>
      </c>
    </row>
    <row r="51" spans="1:32" x14ac:dyDescent="0.3">
      <c r="A51" s="2" t="s">
        <v>71</v>
      </c>
      <c r="B51" s="2">
        <v>36</v>
      </c>
      <c r="C51" s="2">
        <v>26</v>
      </c>
      <c r="D51" s="2">
        <v>10</v>
      </c>
      <c r="E51" s="2">
        <v>0.72199999999999998</v>
      </c>
      <c r="F51" s="2">
        <v>21.4</v>
      </c>
      <c r="G51" s="2">
        <v>11.99</v>
      </c>
      <c r="H51" s="2">
        <v>16</v>
      </c>
      <c r="I51" s="2">
        <v>4</v>
      </c>
      <c r="J51" s="2">
        <f t="shared" si="0"/>
        <v>0.8</v>
      </c>
      <c r="K51" s="2">
        <v>15</v>
      </c>
      <c r="L51" s="2">
        <v>0</v>
      </c>
      <c r="M51" s="2">
        <f t="shared" si="1"/>
        <v>1</v>
      </c>
      <c r="N51" s="2">
        <v>6</v>
      </c>
      <c r="O51" s="2">
        <v>6</v>
      </c>
      <c r="P51" s="2">
        <f t="shared" si="2"/>
        <v>0.5</v>
      </c>
      <c r="Q51" s="2">
        <v>2760</v>
      </c>
      <c r="R51" s="2">
        <v>2421</v>
      </c>
      <c r="S51" s="2">
        <f t="shared" si="3"/>
        <v>0.5327156919513607</v>
      </c>
      <c r="T51" s="2">
        <v>66.099999999999994</v>
      </c>
      <c r="U51" s="2">
        <v>114.4</v>
      </c>
      <c r="V51" s="2">
        <v>0.29899999999999999</v>
      </c>
      <c r="W51" s="2">
        <v>0.45500000000000002</v>
      </c>
      <c r="X51" s="2">
        <v>0.56299999999999994</v>
      </c>
      <c r="Y51" s="2">
        <v>53.7</v>
      </c>
      <c r="Z51" s="2">
        <v>53.6</v>
      </c>
      <c r="AA51" s="2">
        <v>9.1</v>
      </c>
      <c r="AB51" s="2">
        <v>12.6</v>
      </c>
      <c r="AC51" s="2">
        <v>0.53600000000000003</v>
      </c>
      <c r="AD51" s="2">
        <v>13.5</v>
      </c>
      <c r="AE51" s="2">
        <v>33.799999999999997</v>
      </c>
      <c r="AF51" s="2">
        <v>0.215</v>
      </c>
    </row>
    <row r="52" spans="1:32" x14ac:dyDescent="0.3">
      <c r="A52" s="2" t="s">
        <v>72</v>
      </c>
      <c r="B52" s="2">
        <v>36</v>
      </c>
      <c r="C52" s="2">
        <v>23</v>
      </c>
      <c r="D52" s="2">
        <v>13</v>
      </c>
      <c r="E52" s="2">
        <v>0.63900000000000001</v>
      </c>
      <c r="F52" s="2">
        <v>5.0599999999999996</v>
      </c>
      <c r="G52" s="2">
        <v>2.23</v>
      </c>
      <c r="H52" s="2">
        <v>10</v>
      </c>
      <c r="I52" s="2">
        <v>8</v>
      </c>
      <c r="J52" s="2">
        <f t="shared" si="0"/>
        <v>0.55555555555555558</v>
      </c>
      <c r="K52" s="2">
        <v>15</v>
      </c>
      <c r="L52" s="2">
        <v>2</v>
      </c>
      <c r="M52" s="2">
        <f t="shared" si="1"/>
        <v>0.88235294117647056</v>
      </c>
      <c r="N52" s="2">
        <v>4</v>
      </c>
      <c r="O52" s="2">
        <v>8</v>
      </c>
      <c r="P52" s="2">
        <f t="shared" si="2"/>
        <v>0.33333333333333331</v>
      </c>
      <c r="Q52" s="2">
        <v>2399</v>
      </c>
      <c r="R52" s="2">
        <v>2297</v>
      </c>
      <c r="S52" s="2">
        <f t="shared" si="3"/>
        <v>0.51086030664395232</v>
      </c>
      <c r="T52" s="2">
        <v>67</v>
      </c>
      <c r="U52" s="2">
        <v>99.4</v>
      </c>
      <c r="V52" s="2">
        <v>0.39400000000000002</v>
      </c>
      <c r="W52" s="2">
        <v>0.32900000000000001</v>
      </c>
      <c r="X52" s="2">
        <v>0.49199999999999999</v>
      </c>
      <c r="Y52" s="2">
        <v>54.5</v>
      </c>
      <c r="Z52" s="2">
        <v>53.8</v>
      </c>
      <c r="AA52" s="2">
        <v>10.5</v>
      </c>
      <c r="AB52" s="2">
        <v>11.9</v>
      </c>
      <c r="AC52" s="2">
        <v>0.46700000000000003</v>
      </c>
      <c r="AD52" s="2">
        <v>16</v>
      </c>
      <c r="AE52" s="2">
        <v>35.700000000000003</v>
      </c>
      <c r="AF52" s="2">
        <v>0.23599999999999999</v>
      </c>
    </row>
    <row r="53" spans="1:32" x14ac:dyDescent="0.3">
      <c r="A53" s="2" t="s">
        <v>73</v>
      </c>
      <c r="B53" s="2">
        <v>34</v>
      </c>
      <c r="C53" s="2">
        <v>22</v>
      </c>
      <c r="D53" s="2">
        <v>12</v>
      </c>
      <c r="E53" s="2">
        <v>0.64700000000000002</v>
      </c>
      <c r="F53" s="2">
        <v>12.58</v>
      </c>
      <c r="G53" s="2">
        <v>4.4000000000000004</v>
      </c>
      <c r="H53" s="2">
        <v>11</v>
      </c>
      <c r="I53" s="2">
        <v>5</v>
      </c>
      <c r="J53" s="2">
        <f t="shared" si="0"/>
        <v>0.6875</v>
      </c>
      <c r="K53" s="2">
        <v>14</v>
      </c>
      <c r="L53" s="2">
        <v>3</v>
      </c>
      <c r="M53" s="2">
        <f t="shared" si="1"/>
        <v>0.82352941176470584</v>
      </c>
      <c r="N53" s="2">
        <v>5</v>
      </c>
      <c r="O53" s="2">
        <v>5</v>
      </c>
      <c r="P53" s="2">
        <f t="shared" si="2"/>
        <v>0.5</v>
      </c>
      <c r="Q53" s="2">
        <v>2463</v>
      </c>
      <c r="R53" s="2">
        <v>2185</v>
      </c>
      <c r="S53" s="2">
        <f t="shared" si="3"/>
        <v>0.52990533562822717</v>
      </c>
      <c r="T53" s="2">
        <v>64.3</v>
      </c>
      <c r="U53" s="2">
        <v>112.2</v>
      </c>
      <c r="V53" s="2">
        <v>0.29099999999999998</v>
      </c>
      <c r="W53" s="2">
        <v>0.35199999999999998</v>
      </c>
      <c r="X53" s="2">
        <v>0.56799999999999995</v>
      </c>
      <c r="Y53" s="2">
        <v>54.4</v>
      </c>
      <c r="Z53" s="2">
        <v>37.9</v>
      </c>
      <c r="AA53" s="2">
        <v>9.1999999999999993</v>
      </c>
      <c r="AB53" s="2">
        <v>6.9</v>
      </c>
      <c r="AC53" s="2">
        <v>0.53800000000000003</v>
      </c>
      <c r="AD53" s="2">
        <v>14.1</v>
      </c>
      <c r="AE53" s="2">
        <v>30.8</v>
      </c>
      <c r="AF53" s="2">
        <v>0.216</v>
      </c>
    </row>
    <row r="54" spans="1:32" x14ac:dyDescent="0.3">
      <c r="A54" s="2" t="s">
        <v>74</v>
      </c>
      <c r="B54" s="2">
        <v>34</v>
      </c>
      <c r="C54" s="2">
        <v>20</v>
      </c>
      <c r="D54" s="2">
        <v>14</v>
      </c>
      <c r="E54" s="2">
        <v>0.58799999999999997</v>
      </c>
      <c r="F54" s="2">
        <v>10.25</v>
      </c>
      <c r="G54" s="2">
        <v>8.34</v>
      </c>
      <c r="H54" s="2">
        <v>9</v>
      </c>
      <c r="I54" s="2">
        <v>9</v>
      </c>
      <c r="J54" s="2">
        <f t="shared" si="0"/>
        <v>0.5</v>
      </c>
      <c r="K54" s="2">
        <v>11</v>
      </c>
      <c r="L54" s="2">
        <v>4</v>
      </c>
      <c r="M54" s="2">
        <f t="shared" si="1"/>
        <v>0.73333333333333328</v>
      </c>
      <c r="N54" s="2">
        <v>3</v>
      </c>
      <c r="O54" s="2">
        <v>8</v>
      </c>
      <c r="P54" s="2">
        <f t="shared" si="2"/>
        <v>0.27272727272727271</v>
      </c>
      <c r="Q54" s="2">
        <v>2508</v>
      </c>
      <c r="R54" s="2">
        <v>2443</v>
      </c>
      <c r="S54" s="2">
        <f t="shared" si="3"/>
        <v>0.5065643304382953</v>
      </c>
      <c r="T54" s="2">
        <v>70.099999999999994</v>
      </c>
      <c r="U54" s="2">
        <v>104.1</v>
      </c>
      <c r="V54" s="2">
        <v>0.34499999999999997</v>
      </c>
      <c r="W54" s="2">
        <v>0.36699999999999999</v>
      </c>
      <c r="X54" s="2">
        <v>0.53300000000000003</v>
      </c>
      <c r="Y54" s="2">
        <v>50</v>
      </c>
      <c r="Z54" s="2">
        <v>51.7</v>
      </c>
      <c r="AA54" s="2">
        <v>9.8000000000000007</v>
      </c>
      <c r="AB54" s="2">
        <v>11.2</v>
      </c>
      <c r="AC54" s="2">
        <v>0.499</v>
      </c>
      <c r="AD54" s="2">
        <v>15.2</v>
      </c>
      <c r="AE54" s="2">
        <v>29.6</v>
      </c>
      <c r="AF54" s="2">
        <v>0.24299999999999999</v>
      </c>
    </row>
    <row r="55" spans="1:32" x14ac:dyDescent="0.3">
      <c r="A55" s="2" t="s">
        <v>75</v>
      </c>
      <c r="B55" s="2">
        <v>34</v>
      </c>
      <c r="C55" s="2">
        <v>21</v>
      </c>
      <c r="D55" s="2">
        <v>13</v>
      </c>
      <c r="E55" s="2">
        <v>0.61799999999999999</v>
      </c>
      <c r="F55" s="2">
        <v>7.88</v>
      </c>
      <c r="G55" s="2">
        <v>5.5</v>
      </c>
      <c r="H55" s="2">
        <v>8</v>
      </c>
      <c r="I55" s="2">
        <v>10</v>
      </c>
      <c r="J55" s="2">
        <f t="shared" si="0"/>
        <v>0.44444444444444442</v>
      </c>
      <c r="K55" s="2">
        <v>11</v>
      </c>
      <c r="L55" s="2">
        <v>4</v>
      </c>
      <c r="M55" s="2">
        <f t="shared" si="1"/>
        <v>0.73333333333333328</v>
      </c>
      <c r="N55" s="2">
        <v>4</v>
      </c>
      <c r="O55" s="2">
        <v>7</v>
      </c>
      <c r="P55" s="2">
        <f t="shared" si="2"/>
        <v>0.36363636363636365</v>
      </c>
      <c r="Q55" s="2">
        <v>2623</v>
      </c>
      <c r="R55" s="2">
        <v>2542</v>
      </c>
      <c r="S55" s="2">
        <f t="shared" si="3"/>
        <v>0.50784123910939016</v>
      </c>
      <c r="T55" s="2">
        <v>72.599999999999994</v>
      </c>
      <c r="U55" s="2">
        <v>105</v>
      </c>
      <c r="V55" s="2">
        <v>0.29499999999999998</v>
      </c>
      <c r="W55" s="2">
        <v>0.38500000000000001</v>
      </c>
      <c r="X55" s="2">
        <v>0.54800000000000004</v>
      </c>
      <c r="Y55" s="2">
        <v>45.8</v>
      </c>
      <c r="Z55" s="2">
        <v>50</v>
      </c>
      <c r="AA55" s="2">
        <v>12.1</v>
      </c>
      <c r="AB55" s="2">
        <v>9.8000000000000007</v>
      </c>
      <c r="AC55" s="2">
        <v>0.51800000000000002</v>
      </c>
      <c r="AD55" s="2">
        <v>13</v>
      </c>
      <c r="AE55" s="2">
        <v>21.4</v>
      </c>
      <c r="AF55" s="2">
        <v>0.21199999999999999</v>
      </c>
    </row>
    <row r="56" spans="1:32" x14ac:dyDescent="0.3">
      <c r="A56" s="2" t="s">
        <v>76</v>
      </c>
      <c r="B56" s="2">
        <v>34</v>
      </c>
      <c r="C56" s="2">
        <v>20</v>
      </c>
      <c r="D56" s="2">
        <v>14</v>
      </c>
      <c r="E56" s="2">
        <v>0.58799999999999997</v>
      </c>
      <c r="F56" s="2">
        <v>13.73</v>
      </c>
      <c r="G56" s="2">
        <v>10.09</v>
      </c>
      <c r="H56" s="2">
        <v>10</v>
      </c>
      <c r="I56" s="2">
        <v>8</v>
      </c>
      <c r="J56" s="2">
        <f t="shared" si="0"/>
        <v>0.55555555555555558</v>
      </c>
      <c r="K56" s="2">
        <v>13</v>
      </c>
      <c r="L56" s="2">
        <v>6</v>
      </c>
      <c r="M56" s="2">
        <f t="shared" si="1"/>
        <v>0.68421052631578949</v>
      </c>
      <c r="N56" s="2">
        <v>6</v>
      </c>
      <c r="O56" s="2">
        <v>4</v>
      </c>
      <c r="P56" s="2">
        <f t="shared" si="2"/>
        <v>0.6</v>
      </c>
      <c r="Q56" s="2">
        <v>2370</v>
      </c>
      <c r="R56" s="2">
        <v>2246</v>
      </c>
      <c r="S56" s="2">
        <f t="shared" si="3"/>
        <v>0.5134315424610052</v>
      </c>
      <c r="T56" s="2">
        <v>67.2</v>
      </c>
      <c r="U56" s="2">
        <v>103.4</v>
      </c>
      <c r="V56" s="2">
        <v>0.36799999999999999</v>
      </c>
      <c r="W56" s="2">
        <v>0.432</v>
      </c>
      <c r="X56" s="2">
        <v>0.52900000000000003</v>
      </c>
      <c r="Y56" s="2">
        <v>48.4</v>
      </c>
      <c r="Z56" s="2">
        <v>50.5</v>
      </c>
      <c r="AA56" s="2">
        <v>12.1</v>
      </c>
      <c r="AB56" s="2">
        <v>16.8</v>
      </c>
      <c r="AC56" s="2">
        <v>0.496</v>
      </c>
      <c r="AD56" s="2">
        <v>15.9</v>
      </c>
      <c r="AE56" s="2">
        <v>30</v>
      </c>
      <c r="AF56" s="2">
        <v>0.252</v>
      </c>
    </row>
    <row r="57" spans="1:32" x14ac:dyDescent="0.3">
      <c r="A57" s="2" t="s">
        <v>77</v>
      </c>
      <c r="B57" s="2">
        <v>33</v>
      </c>
      <c r="C57" s="2">
        <v>23</v>
      </c>
      <c r="D57" s="2">
        <v>10</v>
      </c>
      <c r="E57" s="2">
        <v>0.69699999999999995</v>
      </c>
      <c r="F57" s="2">
        <v>8.17</v>
      </c>
      <c r="G57" s="2">
        <v>4.93</v>
      </c>
      <c r="H57" s="2">
        <v>13</v>
      </c>
      <c r="I57" s="2">
        <v>5</v>
      </c>
      <c r="J57" s="2">
        <f t="shared" si="0"/>
        <v>0.72222222222222221</v>
      </c>
      <c r="K57" s="2">
        <v>13</v>
      </c>
      <c r="L57" s="2">
        <v>2</v>
      </c>
      <c r="M57" s="2">
        <f t="shared" si="1"/>
        <v>0.8666666666666667</v>
      </c>
      <c r="N57" s="2">
        <v>8</v>
      </c>
      <c r="O57" s="2">
        <v>5</v>
      </c>
      <c r="P57" s="2">
        <f t="shared" si="2"/>
        <v>0.61538461538461542</v>
      </c>
      <c r="Q57" s="2">
        <v>2465</v>
      </c>
      <c r="R57" s="2">
        <v>2358</v>
      </c>
      <c r="S57" s="2">
        <f t="shared" si="3"/>
        <v>0.51109268090400162</v>
      </c>
      <c r="T57" s="2">
        <v>70.5</v>
      </c>
      <c r="U57" s="2">
        <v>104.4</v>
      </c>
      <c r="V57" s="2">
        <v>0.32500000000000001</v>
      </c>
      <c r="W57" s="2">
        <v>0.374</v>
      </c>
      <c r="X57" s="2">
        <v>0.53400000000000003</v>
      </c>
      <c r="Y57" s="2">
        <v>48.2</v>
      </c>
      <c r="Z57" s="2">
        <v>54.5</v>
      </c>
      <c r="AA57" s="2">
        <v>12</v>
      </c>
      <c r="AB57" s="2">
        <v>6.2</v>
      </c>
      <c r="AC57" s="2">
        <v>0.499</v>
      </c>
      <c r="AD57" s="2">
        <v>13.8</v>
      </c>
      <c r="AE57" s="2">
        <v>26.1</v>
      </c>
      <c r="AF57" s="2">
        <v>0.23599999999999999</v>
      </c>
    </row>
    <row r="58" spans="1:32" x14ac:dyDescent="0.3">
      <c r="A58" s="2" t="s">
        <v>78</v>
      </c>
      <c r="B58" s="2">
        <v>37</v>
      </c>
      <c r="C58" s="2">
        <v>31</v>
      </c>
      <c r="D58" s="2">
        <v>6</v>
      </c>
      <c r="E58" s="2">
        <v>0.83799999999999997</v>
      </c>
      <c r="F58" s="2">
        <v>21.55</v>
      </c>
      <c r="G58" s="2">
        <v>10.16</v>
      </c>
      <c r="H58" s="2">
        <v>15</v>
      </c>
      <c r="I58" s="2">
        <v>3</v>
      </c>
      <c r="J58" s="2">
        <f t="shared" si="0"/>
        <v>0.83333333333333337</v>
      </c>
      <c r="K58" s="2">
        <v>18</v>
      </c>
      <c r="L58" s="2">
        <v>0</v>
      </c>
      <c r="M58" s="2">
        <f t="shared" si="1"/>
        <v>1</v>
      </c>
      <c r="N58" s="2">
        <v>7</v>
      </c>
      <c r="O58" s="2">
        <v>3</v>
      </c>
      <c r="P58" s="2">
        <f t="shared" si="2"/>
        <v>0.7</v>
      </c>
      <c r="Q58" s="2">
        <v>3035</v>
      </c>
      <c r="R58" s="2">
        <v>2580</v>
      </c>
      <c r="S58" s="2">
        <f t="shared" si="3"/>
        <v>0.54051647373107747</v>
      </c>
      <c r="T58" s="2">
        <v>69.400000000000006</v>
      </c>
      <c r="U58" s="2">
        <v>116.2</v>
      </c>
      <c r="V58" s="2">
        <v>0.33300000000000002</v>
      </c>
      <c r="W58" s="2">
        <v>0.32</v>
      </c>
      <c r="X58" s="2">
        <v>0.58699999999999997</v>
      </c>
      <c r="Y58" s="2">
        <v>52.3</v>
      </c>
      <c r="Z58" s="2">
        <v>59.7</v>
      </c>
      <c r="AA58" s="2">
        <v>8.5</v>
      </c>
      <c r="AB58" s="2">
        <v>15.2</v>
      </c>
      <c r="AC58" s="2">
        <v>0.55400000000000005</v>
      </c>
      <c r="AD58" s="2">
        <v>13.7</v>
      </c>
      <c r="AE58" s="2">
        <v>30.9</v>
      </c>
      <c r="AF58" s="2">
        <v>0.251</v>
      </c>
    </row>
    <row r="59" spans="1:32" x14ac:dyDescent="0.3">
      <c r="A59" s="2" t="s">
        <v>79</v>
      </c>
      <c r="B59" s="2">
        <v>38</v>
      </c>
      <c r="C59" s="2">
        <v>31</v>
      </c>
      <c r="D59" s="2">
        <v>7</v>
      </c>
      <c r="E59" s="2">
        <v>0.81599999999999995</v>
      </c>
      <c r="F59" s="2">
        <v>22.79</v>
      </c>
      <c r="G59" s="2">
        <v>9.5299999999999994</v>
      </c>
      <c r="H59" s="2">
        <v>14</v>
      </c>
      <c r="I59" s="2">
        <v>4</v>
      </c>
      <c r="J59" s="2">
        <f t="shared" si="0"/>
        <v>0.77777777777777779</v>
      </c>
      <c r="K59" s="2">
        <v>17</v>
      </c>
      <c r="L59" s="2">
        <v>1</v>
      </c>
      <c r="M59" s="2">
        <f t="shared" si="1"/>
        <v>0.94444444444444442</v>
      </c>
      <c r="N59" s="2">
        <v>6</v>
      </c>
      <c r="O59" s="2">
        <v>3</v>
      </c>
      <c r="P59" s="2">
        <f t="shared" si="2"/>
        <v>0.66666666666666663</v>
      </c>
      <c r="Q59" s="2">
        <v>2765</v>
      </c>
      <c r="R59" s="2">
        <v>2261</v>
      </c>
      <c r="S59" s="2">
        <f t="shared" si="3"/>
        <v>0.55013927576601673</v>
      </c>
      <c r="T59" s="2">
        <v>67.599999999999994</v>
      </c>
      <c r="U59" s="2">
        <v>106.9</v>
      </c>
      <c r="V59" s="2">
        <v>0.32900000000000001</v>
      </c>
      <c r="W59" s="2">
        <v>0.36</v>
      </c>
      <c r="X59" s="2">
        <v>0.56699999999999995</v>
      </c>
      <c r="Y59" s="2">
        <v>50.8</v>
      </c>
      <c r="Z59" s="2">
        <v>52.3</v>
      </c>
      <c r="AA59" s="2">
        <v>10.7</v>
      </c>
      <c r="AB59" s="2">
        <v>15.4</v>
      </c>
      <c r="AC59" s="2">
        <v>0.53500000000000003</v>
      </c>
      <c r="AD59" s="2">
        <v>15.8</v>
      </c>
      <c r="AE59" s="2">
        <v>26.3</v>
      </c>
      <c r="AF59" s="2">
        <v>0.24099999999999999</v>
      </c>
    </row>
    <row r="60" spans="1:32" x14ac:dyDescent="0.3">
      <c r="A60" s="2" t="s">
        <v>80</v>
      </c>
      <c r="B60" s="2">
        <v>35</v>
      </c>
      <c r="C60" s="2">
        <v>28</v>
      </c>
      <c r="D60" s="2">
        <v>7</v>
      </c>
      <c r="E60" s="2">
        <v>0.8</v>
      </c>
      <c r="F60" s="2">
        <v>11.98</v>
      </c>
      <c r="G60" s="2">
        <v>0.89</v>
      </c>
      <c r="H60" s="2">
        <v>15</v>
      </c>
      <c r="I60" s="2">
        <v>3</v>
      </c>
      <c r="J60" s="2">
        <f t="shared" si="0"/>
        <v>0.83333333333333337</v>
      </c>
      <c r="K60" s="2">
        <v>14</v>
      </c>
      <c r="L60" s="2">
        <v>1</v>
      </c>
      <c r="M60" s="2">
        <f t="shared" si="1"/>
        <v>0.93333333333333335</v>
      </c>
      <c r="N60" s="2">
        <v>9</v>
      </c>
      <c r="O60" s="2">
        <v>4</v>
      </c>
      <c r="P60" s="2">
        <f t="shared" si="2"/>
        <v>0.69230769230769229</v>
      </c>
      <c r="Q60" s="2">
        <v>2753</v>
      </c>
      <c r="R60" s="2">
        <v>2349</v>
      </c>
      <c r="S60" s="2">
        <f t="shared" si="3"/>
        <v>0.53959231673853392</v>
      </c>
      <c r="T60" s="2">
        <v>70</v>
      </c>
      <c r="U60" s="2">
        <v>111.5</v>
      </c>
      <c r="V60" s="2">
        <v>0.36699999999999999</v>
      </c>
      <c r="W60" s="2">
        <v>0.379</v>
      </c>
      <c r="X60" s="2">
        <v>0.57499999999999996</v>
      </c>
      <c r="Y60" s="2">
        <v>56.2</v>
      </c>
      <c r="Z60" s="2">
        <v>62.4</v>
      </c>
      <c r="AA60" s="2">
        <v>8.6999999999999993</v>
      </c>
      <c r="AB60" s="2">
        <v>12.2</v>
      </c>
      <c r="AC60" s="2">
        <v>0.53800000000000003</v>
      </c>
      <c r="AD60" s="2">
        <v>15.8</v>
      </c>
      <c r="AE60" s="2">
        <v>31.9</v>
      </c>
      <c r="AF60" s="2">
        <v>0.27400000000000002</v>
      </c>
    </row>
    <row r="61" spans="1:32" x14ac:dyDescent="0.3">
      <c r="A61" s="2" t="s">
        <v>81</v>
      </c>
      <c r="B61" s="2">
        <v>34</v>
      </c>
      <c r="C61" s="2">
        <v>27</v>
      </c>
      <c r="D61" s="2">
        <v>7</v>
      </c>
      <c r="E61" s="2">
        <v>0.79400000000000004</v>
      </c>
      <c r="F61" s="2">
        <v>4.88</v>
      </c>
      <c r="G61" s="2">
        <v>-4.18</v>
      </c>
      <c r="H61" s="2">
        <v>14</v>
      </c>
      <c r="I61" s="2">
        <v>2</v>
      </c>
      <c r="J61" s="2">
        <f t="shared" si="0"/>
        <v>0.875</v>
      </c>
      <c r="K61" s="2">
        <v>16</v>
      </c>
      <c r="L61" s="2">
        <v>2</v>
      </c>
      <c r="M61" s="2">
        <f t="shared" si="1"/>
        <v>0.88888888888888884</v>
      </c>
      <c r="N61" s="2">
        <v>11</v>
      </c>
      <c r="O61" s="2">
        <v>4</v>
      </c>
      <c r="P61" s="2">
        <f t="shared" si="2"/>
        <v>0.73333333333333328</v>
      </c>
      <c r="Q61" s="2">
        <v>2508</v>
      </c>
      <c r="R61" s="2">
        <v>2143</v>
      </c>
      <c r="S61" s="2">
        <f t="shared" si="3"/>
        <v>0.53923887336056764</v>
      </c>
      <c r="T61" s="2">
        <v>66.5</v>
      </c>
      <c r="U61" s="2">
        <v>110.2</v>
      </c>
      <c r="V61" s="2">
        <v>0.35899999999999999</v>
      </c>
      <c r="W61" s="2">
        <v>0.40300000000000002</v>
      </c>
      <c r="X61" s="2">
        <v>0.56799999999999995</v>
      </c>
      <c r="Y61" s="2">
        <v>53.2</v>
      </c>
      <c r="Z61" s="2">
        <v>46.2</v>
      </c>
      <c r="AA61" s="2">
        <v>8.3000000000000007</v>
      </c>
      <c r="AB61" s="2">
        <v>11.9</v>
      </c>
      <c r="AC61" s="2">
        <v>0.53</v>
      </c>
      <c r="AD61" s="2">
        <v>14.6</v>
      </c>
      <c r="AE61" s="2">
        <v>27.3</v>
      </c>
      <c r="AF61" s="2">
        <v>0.26900000000000002</v>
      </c>
    </row>
    <row r="62" spans="1:32" x14ac:dyDescent="0.3">
      <c r="A62" s="2" t="s">
        <v>82</v>
      </c>
      <c r="B62" s="2">
        <v>36</v>
      </c>
      <c r="C62" s="2">
        <v>26</v>
      </c>
      <c r="D62" s="2">
        <v>10</v>
      </c>
      <c r="E62" s="2">
        <v>0.72199999999999998</v>
      </c>
      <c r="F62" s="2">
        <v>14.33</v>
      </c>
      <c r="G62" s="2">
        <v>7.97</v>
      </c>
      <c r="H62" s="2">
        <v>13</v>
      </c>
      <c r="I62" s="2">
        <v>5</v>
      </c>
      <c r="J62" s="2">
        <f t="shared" si="0"/>
        <v>0.72222222222222221</v>
      </c>
      <c r="K62" s="2">
        <v>13</v>
      </c>
      <c r="L62" s="2">
        <v>2</v>
      </c>
      <c r="M62" s="2">
        <f t="shared" si="1"/>
        <v>0.8666666666666667</v>
      </c>
      <c r="N62" s="2">
        <v>5</v>
      </c>
      <c r="O62" s="2">
        <v>6</v>
      </c>
      <c r="P62" s="2">
        <f t="shared" si="2"/>
        <v>0.45454545454545453</v>
      </c>
      <c r="Q62" s="2">
        <v>2654</v>
      </c>
      <c r="R62" s="2">
        <v>2425</v>
      </c>
      <c r="S62" s="2">
        <f t="shared" si="3"/>
        <v>0.52254380783618826</v>
      </c>
      <c r="T62" s="2">
        <v>65</v>
      </c>
      <c r="U62" s="2">
        <v>112.2</v>
      </c>
      <c r="V62" s="2">
        <v>0.34399999999999997</v>
      </c>
      <c r="W62" s="2">
        <v>0.53500000000000003</v>
      </c>
      <c r="X62" s="2">
        <v>0.56499999999999995</v>
      </c>
      <c r="Y62" s="2">
        <v>51.3</v>
      </c>
      <c r="Z62" s="2">
        <v>56.9</v>
      </c>
      <c r="AA62" s="2">
        <v>8.1999999999999993</v>
      </c>
      <c r="AB62" s="2">
        <v>8.6999999999999993</v>
      </c>
      <c r="AC62" s="2">
        <v>0.53200000000000003</v>
      </c>
      <c r="AD62" s="2">
        <v>14.2</v>
      </c>
      <c r="AE62" s="2">
        <v>30.1</v>
      </c>
      <c r="AF62" s="2">
        <v>0.251</v>
      </c>
    </row>
    <row r="63" spans="1:32" x14ac:dyDescent="0.3">
      <c r="A63" s="2" t="s">
        <v>83</v>
      </c>
      <c r="B63" s="2">
        <v>33</v>
      </c>
      <c r="C63" s="2">
        <v>25</v>
      </c>
      <c r="D63" s="2">
        <v>8</v>
      </c>
      <c r="E63" s="2">
        <v>0.75800000000000001</v>
      </c>
      <c r="F63" s="2">
        <v>11.96</v>
      </c>
      <c r="G63" s="2">
        <v>2.87</v>
      </c>
      <c r="H63" s="2">
        <v>16</v>
      </c>
      <c r="I63" s="2">
        <v>2</v>
      </c>
      <c r="J63" s="2">
        <f t="shared" si="0"/>
        <v>0.88888888888888884</v>
      </c>
      <c r="K63" s="2">
        <v>16</v>
      </c>
      <c r="L63" s="2">
        <v>1</v>
      </c>
      <c r="M63" s="2">
        <f t="shared" si="1"/>
        <v>0.94117647058823528</v>
      </c>
      <c r="N63" s="2">
        <v>8</v>
      </c>
      <c r="O63" s="2">
        <v>4</v>
      </c>
      <c r="P63" s="2">
        <f t="shared" si="2"/>
        <v>0.66666666666666663</v>
      </c>
      <c r="Q63" s="2">
        <v>2344</v>
      </c>
      <c r="R63" s="2">
        <v>2044</v>
      </c>
      <c r="S63" s="2">
        <f t="shared" si="3"/>
        <v>0.53418413855970825</v>
      </c>
      <c r="T63" s="2">
        <v>69</v>
      </c>
      <c r="U63" s="2">
        <v>102.1</v>
      </c>
      <c r="V63" s="2">
        <v>0.35699999999999998</v>
      </c>
      <c r="W63" s="2">
        <v>0.41199999999999998</v>
      </c>
      <c r="X63" s="2">
        <v>0.53500000000000003</v>
      </c>
      <c r="Y63" s="2">
        <v>50.8</v>
      </c>
      <c r="Z63" s="2">
        <v>54.9</v>
      </c>
      <c r="AA63" s="2">
        <v>11.5</v>
      </c>
      <c r="AB63" s="2">
        <v>12.2</v>
      </c>
      <c r="AC63" s="2">
        <v>0.501</v>
      </c>
      <c r="AD63" s="2">
        <v>17.3</v>
      </c>
      <c r="AE63" s="2">
        <v>31</v>
      </c>
      <c r="AF63" s="2">
        <v>0.251</v>
      </c>
    </row>
    <row r="64" spans="1:32" x14ac:dyDescent="0.3">
      <c r="A64" s="2" t="s">
        <v>84</v>
      </c>
      <c r="B64" s="2">
        <v>35</v>
      </c>
      <c r="C64" s="2">
        <v>26</v>
      </c>
      <c r="D64" s="2">
        <v>9</v>
      </c>
      <c r="E64" s="2">
        <v>0.74299999999999999</v>
      </c>
      <c r="F64" s="2">
        <v>19.28</v>
      </c>
      <c r="G64" s="2">
        <v>7.79</v>
      </c>
      <c r="H64" s="2">
        <v>12</v>
      </c>
      <c r="I64" s="2">
        <v>6</v>
      </c>
      <c r="J64" s="2">
        <f t="shared" si="0"/>
        <v>0.66666666666666663</v>
      </c>
      <c r="K64" s="2">
        <v>14</v>
      </c>
      <c r="L64" s="2">
        <v>2</v>
      </c>
      <c r="M64" s="2">
        <f t="shared" si="1"/>
        <v>0.875</v>
      </c>
      <c r="N64" s="2">
        <v>5</v>
      </c>
      <c r="O64" s="2">
        <v>5</v>
      </c>
      <c r="P64" s="2">
        <f t="shared" si="2"/>
        <v>0.5</v>
      </c>
      <c r="Q64" s="2">
        <v>2574</v>
      </c>
      <c r="R64" s="2">
        <v>2172</v>
      </c>
      <c r="S64" s="2">
        <f t="shared" si="3"/>
        <v>0.54235145385587868</v>
      </c>
      <c r="T64" s="2">
        <v>64.400000000000006</v>
      </c>
      <c r="U64" s="2">
        <v>113.3</v>
      </c>
      <c r="V64" s="2">
        <v>0.31900000000000001</v>
      </c>
      <c r="W64" s="2">
        <v>0.437</v>
      </c>
      <c r="X64" s="2">
        <v>0.58799999999999997</v>
      </c>
      <c r="Y64" s="2">
        <v>51.9</v>
      </c>
      <c r="Z64" s="2">
        <v>59.5</v>
      </c>
      <c r="AA64" s="2">
        <v>10.4</v>
      </c>
      <c r="AB64" s="2">
        <v>8.4</v>
      </c>
      <c r="AC64" s="2">
        <v>0.55600000000000005</v>
      </c>
      <c r="AD64" s="2">
        <v>15.2</v>
      </c>
      <c r="AE64" s="2">
        <v>29.2</v>
      </c>
      <c r="AF64" s="2">
        <v>0.24299999999999999</v>
      </c>
    </row>
    <row r="65" spans="1:32" x14ac:dyDescent="0.3">
      <c r="A65" s="2" t="s">
        <v>85</v>
      </c>
      <c r="B65" s="2">
        <v>38</v>
      </c>
      <c r="C65" s="2">
        <v>35</v>
      </c>
      <c r="D65" s="2">
        <v>3</v>
      </c>
      <c r="E65" s="2">
        <v>0.92100000000000004</v>
      </c>
      <c r="F65" s="2">
        <v>25.46</v>
      </c>
      <c r="G65" s="2">
        <v>10.15</v>
      </c>
      <c r="H65" s="2">
        <v>16</v>
      </c>
      <c r="I65" s="2">
        <v>2</v>
      </c>
      <c r="J65" s="2">
        <f t="shared" si="0"/>
        <v>0.88888888888888884</v>
      </c>
      <c r="K65" s="2">
        <v>15</v>
      </c>
      <c r="L65" s="2">
        <v>1</v>
      </c>
      <c r="M65" s="2">
        <f t="shared" si="1"/>
        <v>0.9375</v>
      </c>
      <c r="N65" s="2">
        <v>10</v>
      </c>
      <c r="O65" s="2">
        <v>1</v>
      </c>
      <c r="P65" s="2">
        <f t="shared" si="2"/>
        <v>0.90909090909090906</v>
      </c>
      <c r="Q65" s="2">
        <v>2714</v>
      </c>
      <c r="R65" s="2">
        <v>2132</v>
      </c>
      <c r="S65" s="2">
        <f t="shared" si="3"/>
        <v>0.56004952538175812</v>
      </c>
      <c r="T65" s="2">
        <v>60.8</v>
      </c>
      <c r="U65" s="2">
        <v>116.3</v>
      </c>
      <c r="V65" s="2">
        <v>0.29099999999999998</v>
      </c>
      <c r="W65" s="2">
        <v>0.39500000000000002</v>
      </c>
      <c r="X65" s="2">
        <v>0.57999999999999996</v>
      </c>
      <c r="Y65" s="2">
        <v>53.9</v>
      </c>
      <c r="Z65" s="2">
        <v>55.9</v>
      </c>
      <c r="AA65" s="2">
        <v>9</v>
      </c>
      <c r="AB65" s="2">
        <v>13</v>
      </c>
      <c r="AC65" s="2">
        <v>0.55200000000000005</v>
      </c>
      <c r="AD65" s="2">
        <v>12.8</v>
      </c>
      <c r="AE65" s="2">
        <v>29.7</v>
      </c>
      <c r="AF65" s="2">
        <v>0.216</v>
      </c>
    </row>
    <row r="66" spans="1:32" x14ac:dyDescent="0.3">
      <c r="A66" s="2" t="s">
        <v>86</v>
      </c>
      <c r="B66" s="2">
        <v>36</v>
      </c>
      <c r="C66" s="2">
        <v>27</v>
      </c>
      <c r="D66" s="2">
        <v>9</v>
      </c>
      <c r="E66" s="2">
        <v>0.75</v>
      </c>
      <c r="F66" s="2">
        <v>12.01</v>
      </c>
      <c r="G66" s="2">
        <v>7.01</v>
      </c>
      <c r="H66" s="2">
        <v>15</v>
      </c>
      <c r="I66" s="2">
        <v>3</v>
      </c>
      <c r="J66" s="2">
        <f t="shared" si="0"/>
        <v>0.83333333333333337</v>
      </c>
      <c r="K66" s="2">
        <v>15</v>
      </c>
      <c r="L66" s="2">
        <v>1</v>
      </c>
      <c r="M66" s="2">
        <f t="shared" si="1"/>
        <v>0.9375</v>
      </c>
      <c r="N66" s="2">
        <v>7</v>
      </c>
      <c r="O66" s="2">
        <v>4</v>
      </c>
      <c r="P66" s="2">
        <f t="shared" si="2"/>
        <v>0.63636363636363635</v>
      </c>
      <c r="Q66" s="2">
        <v>2511</v>
      </c>
      <c r="R66" s="2">
        <v>2331</v>
      </c>
      <c r="S66" s="2">
        <f t="shared" si="3"/>
        <v>0.51858736059479549</v>
      </c>
      <c r="T66" s="2">
        <v>67.400000000000006</v>
      </c>
      <c r="U66" s="2">
        <v>103.2</v>
      </c>
      <c r="V66" s="2">
        <v>0.34699999999999998</v>
      </c>
      <c r="W66" s="2">
        <v>0.39900000000000002</v>
      </c>
      <c r="X66" s="2">
        <v>0.55100000000000005</v>
      </c>
      <c r="Y66" s="2">
        <v>47.6</v>
      </c>
      <c r="Z66" s="2">
        <v>47.5</v>
      </c>
      <c r="AA66" s="2">
        <v>13.3</v>
      </c>
      <c r="AB66" s="2">
        <v>16.3</v>
      </c>
      <c r="AC66" s="2">
        <v>0.52100000000000002</v>
      </c>
      <c r="AD66" s="2">
        <v>17.399999999999999</v>
      </c>
      <c r="AE66" s="2">
        <v>28.8</v>
      </c>
      <c r="AF66" s="2">
        <v>0.24099999999999999</v>
      </c>
    </row>
    <row r="67" spans="1:32" x14ac:dyDescent="0.3">
      <c r="A67" s="2" t="s">
        <v>87</v>
      </c>
      <c r="B67" s="2">
        <v>34</v>
      </c>
      <c r="C67" s="2">
        <v>23</v>
      </c>
      <c r="D67" s="2">
        <v>11</v>
      </c>
      <c r="E67" s="2">
        <v>0.67600000000000005</v>
      </c>
      <c r="F67" s="2">
        <v>17.899999999999999</v>
      </c>
      <c r="G67" s="2">
        <v>11.01</v>
      </c>
      <c r="H67" s="2">
        <v>14</v>
      </c>
      <c r="I67" s="2">
        <v>6</v>
      </c>
      <c r="J67" s="2">
        <f t="shared" ref="J67:J69" si="4">H67/SUM(H67+I67)</f>
        <v>0.7</v>
      </c>
      <c r="K67" s="2">
        <v>12</v>
      </c>
      <c r="L67" s="2">
        <v>3</v>
      </c>
      <c r="M67" s="2">
        <f t="shared" ref="M67:M69" si="5">K67/SUM(K67+L67)</f>
        <v>0.8</v>
      </c>
      <c r="N67" s="2">
        <v>8</v>
      </c>
      <c r="O67" s="2">
        <v>5</v>
      </c>
      <c r="P67" s="2">
        <f t="shared" ref="P67:P69" si="6">N67/SUM(N67+O67)</f>
        <v>0.61538461538461542</v>
      </c>
      <c r="Q67" s="2">
        <v>2333</v>
      </c>
      <c r="R67" s="2">
        <v>2099</v>
      </c>
      <c r="S67" s="2">
        <f t="shared" ref="S67:S69" si="7">Q67/SUM(Q67+R67)</f>
        <v>0.52639891696750907</v>
      </c>
      <c r="T67" s="2">
        <v>64.8</v>
      </c>
      <c r="U67" s="2">
        <v>103.9</v>
      </c>
      <c r="V67" s="2">
        <v>0.27300000000000002</v>
      </c>
      <c r="W67" s="2">
        <v>0.34599999999999997</v>
      </c>
      <c r="X67" s="2">
        <v>0.53100000000000003</v>
      </c>
      <c r="Y67" s="2">
        <v>49.8</v>
      </c>
      <c r="Z67" s="2">
        <v>49.2</v>
      </c>
      <c r="AA67" s="2">
        <v>7.9</v>
      </c>
      <c r="AB67" s="2">
        <v>11</v>
      </c>
      <c r="AC67" s="2">
        <v>0.51100000000000001</v>
      </c>
      <c r="AD67" s="2">
        <v>13</v>
      </c>
      <c r="AE67" s="2">
        <v>24.3</v>
      </c>
      <c r="AF67" s="2">
        <v>0.17699999999999999</v>
      </c>
    </row>
    <row r="68" spans="1:32" x14ac:dyDescent="0.3">
      <c r="A68" s="2" t="s">
        <v>88</v>
      </c>
      <c r="B68" s="2">
        <v>35</v>
      </c>
      <c r="C68" s="2">
        <v>30</v>
      </c>
      <c r="D68" s="2">
        <v>5</v>
      </c>
      <c r="E68" s="2">
        <v>0.85699999999999998</v>
      </c>
      <c r="F68" s="2">
        <v>13.92</v>
      </c>
      <c r="G68" s="2">
        <v>0.8</v>
      </c>
      <c r="H68" s="2">
        <v>18</v>
      </c>
      <c r="I68" s="2">
        <v>0</v>
      </c>
      <c r="J68" s="2">
        <f t="shared" si="4"/>
        <v>1</v>
      </c>
      <c r="K68" s="2">
        <v>15</v>
      </c>
      <c r="L68" s="2">
        <v>1</v>
      </c>
      <c r="M68" s="2">
        <f t="shared" si="5"/>
        <v>0.9375</v>
      </c>
      <c r="N68" s="2">
        <v>11</v>
      </c>
      <c r="O68" s="2">
        <v>3</v>
      </c>
      <c r="P68" s="2">
        <f t="shared" si="6"/>
        <v>0.7857142857142857</v>
      </c>
      <c r="Q68" s="2">
        <v>2879</v>
      </c>
      <c r="R68" s="2">
        <v>2295</v>
      </c>
      <c r="S68" s="2">
        <f t="shared" si="7"/>
        <v>0.55643602628527256</v>
      </c>
      <c r="T68" s="2">
        <v>68.5</v>
      </c>
      <c r="U68" s="2">
        <v>119.2</v>
      </c>
      <c r="V68" s="2">
        <v>0.27100000000000002</v>
      </c>
      <c r="W68" s="2">
        <v>0.436</v>
      </c>
      <c r="X68" s="2">
        <v>0.59799999999999998</v>
      </c>
      <c r="Y68" s="2">
        <v>54.5</v>
      </c>
      <c r="Z68" s="2">
        <v>50.6</v>
      </c>
      <c r="AA68" s="2">
        <v>9.6</v>
      </c>
      <c r="AB68" s="2">
        <v>9.1</v>
      </c>
      <c r="AC68" s="2">
        <v>0.57999999999999996</v>
      </c>
      <c r="AD68" s="2">
        <v>13.5</v>
      </c>
      <c r="AE68" s="2">
        <v>32.5</v>
      </c>
      <c r="AF68" s="2">
        <v>0.19</v>
      </c>
    </row>
    <row r="69" spans="1:32" x14ac:dyDescent="0.3">
      <c r="A69" s="2" t="s">
        <v>89</v>
      </c>
      <c r="B69" s="2">
        <v>30</v>
      </c>
      <c r="C69" s="2">
        <v>22</v>
      </c>
      <c r="D69" s="2">
        <v>8</v>
      </c>
      <c r="E69" s="2">
        <v>0.73299999999999998</v>
      </c>
      <c r="F69" s="2">
        <v>5.52</v>
      </c>
      <c r="G69" s="2">
        <v>-1.24</v>
      </c>
      <c r="H69" s="2">
        <v>10</v>
      </c>
      <c r="I69" s="2">
        <v>4</v>
      </c>
      <c r="J69" s="2">
        <f t="shared" si="4"/>
        <v>0.7142857142857143</v>
      </c>
      <c r="K69" s="2">
        <v>11</v>
      </c>
      <c r="L69" s="2">
        <v>2</v>
      </c>
      <c r="M69" s="2">
        <f t="shared" si="5"/>
        <v>0.84615384615384615</v>
      </c>
      <c r="N69" s="2">
        <v>8</v>
      </c>
      <c r="O69" s="2">
        <v>5</v>
      </c>
      <c r="P69" s="2">
        <f t="shared" si="6"/>
        <v>0.61538461538461542</v>
      </c>
      <c r="Q69" s="2">
        <v>2427</v>
      </c>
      <c r="R69" s="2">
        <v>2202</v>
      </c>
      <c r="S69" s="2">
        <f t="shared" si="7"/>
        <v>0.52430330524951396</v>
      </c>
      <c r="T69" s="2">
        <v>72.900000000000006</v>
      </c>
      <c r="U69" s="2">
        <v>109.7</v>
      </c>
      <c r="V69" s="2">
        <v>0.307</v>
      </c>
      <c r="W69" s="2">
        <v>0.35</v>
      </c>
      <c r="X69" s="2">
        <v>0.58399999999999996</v>
      </c>
      <c r="Y69" s="2">
        <v>52.9</v>
      </c>
      <c r="Z69" s="2">
        <v>56.3</v>
      </c>
      <c r="AA69" s="2">
        <v>8</v>
      </c>
      <c r="AB69" s="2">
        <v>11.2</v>
      </c>
      <c r="AC69" s="2">
        <v>0.55600000000000005</v>
      </c>
      <c r="AD69" s="2">
        <v>15.9</v>
      </c>
      <c r="AE69" s="2">
        <v>25.8</v>
      </c>
      <c r="AF69" s="2">
        <v>0.22700000000000001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Worksheet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Guymon</dc:creator>
  <cp:lastModifiedBy>Nathan Guymon</cp:lastModifiedBy>
  <dcterms:created xsi:type="dcterms:W3CDTF">2021-03-18T04:14:36Z</dcterms:created>
  <dcterms:modified xsi:type="dcterms:W3CDTF">2021-03-18T04:37:44Z</dcterms:modified>
</cp:coreProperties>
</file>